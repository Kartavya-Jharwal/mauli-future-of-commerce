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7554e2916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37e541cb98b49a6"/>
    <x:sheet xmlns:r="http://schemas.openxmlformats.org/officeDocument/2006/relationships" name="Monthly economics" sheetId="2" r:id="R74c277daa2824ede"/>
    <x:sheet xmlns:r="http://schemas.openxmlformats.org/officeDocument/2006/relationships" name="Cohort LTV" sheetId="3" r:id="R003654ce0b6649b5"/>
    <x:sheet xmlns:r="http://schemas.openxmlformats.org/officeDocument/2006/relationships" name="Ritual tracker" sheetId="4" r:id="R87b81e4d099b43a7"/>
    <x:sheet xmlns:r="http://schemas.openxmlformats.org/officeDocument/2006/relationships" name="Discovery tracker" sheetId="5" r:id="Rde7d0d80f4954f6e"/>
    <x:sheet xmlns:r="http://schemas.openxmlformats.org/officeDocument/2006/relationships" name="KPI database" sheetId="6" r:id="Rb8658b92fdb54ba6"/>
    <x:sheet xmlns:r="http://schemas.openxmlformats.org/officeDocument/2006/relationships" name="Metric dictionary" sheetId="7" r:id="Rc3ed96b086704bb9"/>
    <x:sheet xmlns:r="http://schemas.openxmlformats.org/officeDocument/2006/relationships" name="Read me" sheetId="8" r:id="R6ad3af5f4c74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-yy"/>
    <x:numFmt numFmtId="201" formatCode="&quot;£&quot;#,##0.00;(&quot;£&quot;#,##0.00);&quot;£&quot;0.00"/>
    <x:numFmt numFmtId="202" formatCode="0.0%"/>
    <x:numFmt numFmtId="203" formatCode="#,##0"/>
    <x:numFmt numFmtId="204" formatCode="dd-mmm-yy"/>
    <x:numFmt numFmtId="205" formatCode="0.000"/>
    <x:numFmt numFmtId="206" formatCode="0.00&quot;x&quot;"/>
  </x:numFmts>
  <x:fonts count="7">
    <x:font>
      <x:sz val="11"/>
      <x:name val="Carlito"/>
    </x:font>
    <x:font>
      <x:sz val="10"/>
      <x:color rgb="FF242C28"/>
      <x:name val="Arial"/>
    </x:font>
    <x:font>
      <x:b/>
      <x:sz val="16"/>
      <x:color rgb="FF242C28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45CB0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73D"/>
      </x:patternFill>
    </x:fill>
    <x:fill>
      <x:patternFill patternType="solid">
        <x:fgColor rgb="FFFFF0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4" fontId="5" fillId="0" borderId="0" xfId="0" applyNumberFormat="1" applyFont="1" applyFill="1" applyBorder="1"/>
    <x:xf numFmtId="205" fontId="5" fillId="0" borderId="0" xfId="0" applyNumberFormat="1" applyFont="1" applyFill="1" applyBorder="1"/>
    <x:xf numFmtId="205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206" fontId="5" fillId="0" borderId="0" xfId="0" applyNumberFormat="1" applyFont="1" applyFill="1" applyBorder="1"/>
    <x:xf numFmtId="206" fontId="6" fillId="0" borderId="0" xfId="0" applyNumberFormat="1" applyFont="1" applyFill="1" applyBorder="1"/>
  </x:cellXfs>
  <x:cellStyles count="1">
    <x:cellStyle name="Normal" xfId="0"/>
  </x:cellStyles>
  <x:dxfs count="5">
    <x:dxf>
      <x:font>
        <x:color rgb="FF922F24"/>
      </x:font>
      <x:fill>
        <x:patternFill patternType="solid">
          <x:bgColor rgb="FFFDE8DF"/>
        </x:patternFill>
      </x:fill>
    </x:dxf>
    <x:dxf>
      <x:font>
        <x:color rgb="FF922F24"/>
      </x:font>
      <x:fill>
        <x:patternFill patternType="solid">
          <x:bgColor rgb="FFFDE8DF"/>
        </x:patternFill>
      </x:fill>
    </x:dxf>
    <x:dxf>
      <x:font>
        <x:color rgb="FF922F24"/>
      </x:font>
      <x:fill>
        <x:patternFill patternType="solid">
          <x:bgColor rgb="FFFDE8DF"/>
        </x:patternFill>
      </x:fill>
    </x:dxf>
    <x:dxf>
      <x:font>
        <x:color rgb="FF922F24"/>
      </x:font>
      <x:fill>
        <x:patternFill patternType="solid">
          <x:bgColor rgb="FFFDE8DF"/>
        </x:patternFill>
      </x:fill>
    </x:dxf>
    <x:dxf>
      <x:font>
        <x:color rgb="FF922F24"/>
      </x:font>
      <x:fill>
        <x:patternFill patternType="solid">
          <x:bgColor rgb="FFFDE8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051f7919724020" /><Relationship Type="http://schemas.openxmlformats.org/officeDocument/2006/relationships/theme" Target="/xl/theme/theme1.xml" Id="R753809fd651b418d" /><Relationship Type="http://schemas.openxmlformats.org/officeDocument/2006/relationships/sharedStrings" Target="/xl/sharedStrings.xml" Id="R73d89078f6f740c3" /><Relationship Type="http://schemas.openxmlformats.org/officeDocument/2006/relationships/worksheet" Target="/xl/worksheets/sheet1.xml" Id="R337e541cb98b49a6" /><Relationship Type="http://schemas.openxmlformats.org/officeDocument/2006/relationships/worksheet" Target="/xl/worksheets/sheet2.xml" Id="R74c277daa2824ede" /><Relationship Type="http://schemas.openxmlformats.org/officeDocument/2006/relationships/worksheet" Target="/xl/worksheets/sheet3.xml" Id="R003654ce0b6649b5" /><Relationship Type="http://schemas.openxmlformats.org/officeDocument/2006/relationships/worksheet" Target="/xl/worksheets/sheet4.xml" Id="R87b81e4d099b43a7" /><Relationship Type="http://schemas.openxmlformats.org/officeDocument/2006/relationships/worksheet" Target="/xl/worksheets/sheet5.xml" Id="Rde7d0d80f4954f6e" /><Relationship Type="http://schemas.openxmlformats.org/officeDocument/2006/relationships/worksheet" Target="/xl/worksheets/sheet6.xml" Id="Rb8658b92fdb54ba6" /><Relationship Type="http://schemas.openxmlformats.org/officeDocument/2006/relationships/worksheet" Target="/xl/worksheets/sheet7.xml" Id="Rc3ed96b086704bb9" /><Relationship Type="http://schemas.openxmlformats.org/officeDocument/2006/relationships/worksheet" Target="/xl/worksheets/sheet8.xml" Id="R6ad3af5f4c7441d6" /></Relationships>
</file>

<file path=xl/tables/table1.xml><?xml version="1.0" encoding="utf-8"?>
<x:table xmlns:x="http://schemas.openxmlformats.org/spreadsheetml/2006/main" id="1" name="TMonthlyeconomics" displayName="TMonthlyeconomics" ref="A5:X65" headerRowCount="1" totalsRowCount="0" totalsRowShown="0">
  <x:tableColumns count="24">
    <x:tableColumn id="1" name="Month start"/>
    <x:tableColumn id="2" name="Motion"/>
    <x:tableColumn id="3" name="Channel"/>
    <x:tableColumn id="4" name="Complete?"/>
    <x:tableColumn id="5" name="Acquisition spend GBP"/>
    <x:tableColumn id="6" name="New customers"/>
    <x:tableColumn id="7" name="Active customers"/>
    <x:tableColumn id="8" name="Returning customers"/>
    <x:tableColumn id="9" name="Orders"/>
    <x:tableColumn id="10" name="Net sales GBP"/>
    <x:tableColumn id="11" name="Shipping retained GBP"/>
    <x:tableColumn id="12" name="COGS GBP"/>
    <x:tableColumn id="13" name="Fulfilment GBP"/>
    <x:tableColumn id="14" name="Freight GBP"/>
    <x:tableColumn id="15" name="Payment fees GBP"/>
    <x:tableColumn id="16" name="Commissions GBP"/>
    <x:tableColumn id="17" name="Variable service GBP"/>
    <x:tableColumn id="18" name="Source / extract"/>
    <x:tableColumn id="19" name="Contribution GBP"/>
    <x:tableColumn id="20" name="Attributed CAC GBP"/>
    <x:tableColumn id="21" name="Repeat customer mix"/>
    <x:tableColumn id="22" name="AOV GBP"/>
    <x:tableColumn id="23" name="After acquisition GBP"/>
    <x:tableColumn id="24" name="Row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CohortLTV" displayName="TCohortLTV" ref="A5:W65" headerRowCount="1" totalsRowCount="0" totalsRowShown="0">
  <x:tableColumns count="23">
    <x:tableColumn id="1" name="Cohort end"/>
    <x:tableColumn id="2" name="Motion"/>
    <x:tableColumn id="3" name="Acquisition channel"/>
    <x:tableColumn id="4" name="Horizon days"/>
    <x:tableColumn id="5" name="As-of date"/>
    <x:tableColumn id="6" name="Complete?"/>
    <x:tableColumn id="7" name="Acquired customers"/>
    <x:tableColumn id="8" name="Customers repurchased"/>
    <x:tableColumn id="9" name="Net sales GBP"/>
    <x:tableColumn id="10" name="Shipping retained GBP"/>
    <x:tableColumn id="11" name="COGS GBP"/>
    <x:tableColumn id="12" name="Fulfilment GBP"/>
    <x:tableColumn id="13" name="Freight GBP"/>
    <x:tableColumn id="14" name="Fees + commission GBP"/>
    <x:tableColumn id="15" name="Variable service GBP"/>
    <x:tableColumn id="16" name="Source / extract"/>
    <x:tableColumn id="17" name="Row status"/>
    <x:tableColumn id="18" name="Contribution GBP"/>
    <x:tableColumn id="19" name="Observed LTV GBP"/>
    <x:tableColumn id="20" name="Repurchase rate"/>
    <x:tableColumn id="21" name="Cohort acquisition spend GBP"/>
    <x:tableColumn id="22" name="Cohort CAC GBP"/>
    <x:tableColumn id="23" name="Contribution LTV:CAC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itualtracker" displayName="TRitualtracker" ref="A5:L65" headerRowCount="1" totalsRowCount="0" totalsRowShown="0">
  <x:tableColumns count="12">
    <x:tableColumn id="1" name="Period start"/>
    <x:tableColumn id="2" name="Period end"/>
    <x:tableColumn id="3" name="Motion"/>
    <x:tableColumn id="4" name="Instrument version"/>
    <x:tableColumn id="5" name="Invited"/>
    <x:tableColumn id="6" name="Respondents"/>
    <x:tableColumn id="7" name="Practised 7+ days"/>
    <x:tableColumn id="8" name="Multiple rituals"/>
    <x:tableColumn id="9" name="Source / extract"/>
    <x:tableColumn id="10" name="Response rate"/>
    <x:tableColumn id="11" name="Practice share"/>
    <x:tableColumn id="12" name="Multiple ritual sha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Discoverytracker" displayName="TDiscoverytracker" ref="A5:V65" headerRowCount="1" totalsRowCount="0" totalsRowShown="0">
  <x:tableColumns count="22">
    <x:tableColumn id="1" name="Period start"/>
    <x:tableColumn id="2" name="Period end"/>
    <x:tableColumn id="3" name="Type"/>
    <x:tableColumn id="4" name="System / engine"/>
    <x:tableColumn id="5" name="Panel / query slice"/>
    <x:tableColumn id="6" name="Version / locale"/>
    <x:tableColumn id="7" name="Valid observations"/>
    <x:tableColumn id="8" name="Mentions"/>
    <x:tableColumn id="9" name="Recommendations"/>
    <x:tableColumn id="10" name="Owned citations"/>
    <x:tableColumn id="11" name="Claims checked"/>
    <x:tableColumn id="12" name="Claims correct"/>
    <x:tableColumn id="13" name="SEO impressions"/>
    <x:tableColumn id="14" name="SEO clicks"/>
    <x:tableColumn id="15" name="AI referral sessions"/>
    <x:tableColumn id="16" name="AI referral orders"/>
    <x:tableColumn id="17" name="Source / extract"/>
    <x:tableColumn id="18" name="Mention rate"/>
    <x:tableColumn id="19" name="Recommendation rate"/>
    <x:tableColumn id="20" name="Citation rate"/>
    <x:tableColumn id="21" name="Claim accuracy"/>
    <x:tableColumn id="22" name="SEO CT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KPIdatabase" displayName="TKPIdatabase" ref="A5:N65" headerRowCount="1" totalsRowCount="0" totalsRowShown="0">
  <x:tableColumns count="14">
    <x:tableColumn id="1" name="Observation ID"/>
    <x:tableColumn id="2" name="Metric ID"/>
    <x:tableColumn id="3" name="Period start"/>
    <x:tableColumn id="4" name="Period end"/>
    <x:tableColumn id="5" name="Motion"/>
    <x:tableColumn id="6" name="Channel / segment"/>
    <x:tableColumn id="7" name="Numerator / amount"/>
    <x:tableColumn id="8" name="Denominator"/>
    <x:tableColumn id="9" name="Calculation"/>
    <x:tableColumn id="10" name="Result"/>
    <x:tableColumn id="11" name="Evidence status"/>
    <x:tableColumn id="12" name="Source / extract"/>
    <x:tableColumn id="13" name="Owner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etricdictionary" displayName="TMetricdictionary" ref="A5:M65" headerRowCount="1" totalsRowCount="0" totalsRowShown="0">
  <x:tableColumns count="13">
    <x:tableColumn id="1" name="metric_id"/>
    <x:tableColumn id="2" name="name"/>
    <x:tableColumn id="3" name="motion"/>
    <x:tableColumn id="4" name="stage"/>
    <x:tableColumn id="5" name="unit"/>
    <x:tableColumn id="6" name="numerator"/>
    <x:tableColumn id="7" name="denominator"/>
    <x:tableColumn id="8" name="window"/>
    <x:tableColumn id="9" name="source_required"/>
    <x:tableColumn id="10" name="cadence"/>
    <x:tableColumn id="11" name="owner"/>
    <x:tableColumn id="12" name="status"/>
    <x:tableColumn id="13" name="main_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f933beb44f49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d45fce0a5444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6475168d9b42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b4ea29e82946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898160a43347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dccd14b2a74722" /></Relationships>
</file>

<file path=xl/worksheets/sheet1.xml><?xml version="1.0" encoding="utf-8"?>
<x:worksheet xmlns:x="http://schemas.openxmlformats.org/spreadsheetml/2006/main">
  <x:sheetPr>
    <x:tabColor rgb="FF30473D"/>
  </x:sheetPr>
  <x:sheetViews>
    <x:sheetView showGridLines="0" workbookViewId="0"/>
  </x:sheetViews>
  <x:sheetFormatPr defaultRowHeight="15"/>
  <x:cols>
    <x:col min="1" max="1" width="38" hidden="0" customWidth="1"/>
    <x:col min="2" max="2" width="21" hidden="0" customWidth="1"/>
    <x:col min="3" max="3" width="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23" customHeight="1">
      <x:c r="A2" s="2" t="str">
        <x:v>Mauli customer economics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3" customHeight="1">
      <x:c r="A3" s="3" t="str">
        <x:v>Actual baseline: Not supplied. Select a complete reporting month and one commerce motion.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</x:row>
    <x:row r="5" ht="23" customHeight="1">
      <x:c r="A5" s="1" t="str">
        <x:v>Reporting month</x:v>
      </x:c>
      <x:c r="B5" s="21"/>
      <x:c r="C5" s="1"/>
      <x:c r="D5" s="1" t="str">
        <x:v>Coverage: confirm all exclusive channels, including direct / unknown.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</x:row>
    <x:row r="6" ht="23" customHeight="1">
      <x:c r="A6" s="1" t="str">
        <x:v>Motion</x:v>
      </x:c>
      <x:c r="B6" s="20" t="str">
        <x:v>D2C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</x:row>
    <x:row r="7" ht="23" customHeight="1">
      <x:c r="A7" s="1" t="str">
        <x:v>Coverage confirmed?</x:v>
      </x:c>
      <x:c r="B7" s="20" t="str">
        <x:v>No</x:v>
      </x:c>
      <x:c r="C7" s="1"/>
      <x:c r="D7" s="1" t="str">
        <x:v>LTV includes ready mature cohorts at the selected horizon.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</x:row>
    <x:row r="8" ht="23" customHeight="1">
      <x:c r="A8" s="1" t="str">
        <x:v>LTV horizon (days)</x:v>
      </x:c>
      <x:c r="B8" s="20" t="n">
        <x:v>90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</x:row>
    <x:row r="9" ht="23" customHeight="1">
      <x:c r="A9" s="1"/>
      <x:c r="B9" s="1"/>
      <x:c r="C9" s="1"/>
      <x:c r="D9" s="1" t="str">
        <x:v>LTV is observed contribution before acquisition, not predicted lifetime.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</x:row>
    <x:row r="10" ht="23" customHeight="1">
      <x:c r="A10" s="1" t="str">
        <x:v>Data readiness</x:v>
      </x:c>
      <x:c r="B10" s="1" t="str">
        <x:f>IF(OR(B5="",B7&lt;&gt;"Yes",COUNTIFS('Monthly economics'!$A$6:$A$65,$B$5,'Monthly economics'!$B$6:$B$65,$B$6)=0),"Not supplied",IF(COUNTIFS('Monthly economics'!$A$6:$A$65,$B$5,'Monthly economics'!$B$6:$B$65,$B$6,'Monthly economics'!$X$6:$X$65,"Ready")&lt;&gt;COUNTIFS('Monthly economics'!$A$6:$A$65,$B$5,'Monthly economics'!$B$6:$B$65,$B$6),"Missing / invalid rows","Ready"))</x:f>
        <x:v>Not supplied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</x:row>
    <x:row r="11" ht="23" customHeight="1">
      <x:c r="A11" s="1"/>
      <x:c r="B11" s="1"/>
      <x:c r="C11" s="1"/>
      <x:c r="D11" s="1" t="str">
        <x:v>B2B counts buying accounts. D2C counts distinct customers.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</x:row>
    <x:row r="12" ht="23" customHeight="1">
      <x:c r="A12" s="1" t="str">
        <x:v>Acquisition spend GBP</x:v>
      </x:c>
      <x:c r="B12" s="23" t="str">
        <x:f>IF(B10&lt;&gt;"Ready","Not supplied",SUMIFS('Monthly economics'!$E$6:$E$65,'Monthly economics'!$A$6:$A$65,$B$5,'Monthly economics'!$B$6:$B$65,$B$6))</x:f>
        <x:v>Not supplied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</x:row>
    <x:row r="13" ht="23" customHeight="1">
      <x:c r="A13" s="1" t="str">
        <x:v>New customers / accounts</x:v>
      </x:c>
      <x:c r="B13" s="1" t="str">
        <x:f>IF(B10&lt;&gt;"Ready","Not supplied",SUMIFS('Monthly economics'!$F$6:$F$65,'Monthly economics'!$A$6:$A$65,$B$5,'Monthly economics'!$B$6:$B$65,$B$6))</x:f>
        <x:v>Not supplied</x:v>
      </x:c>
      <x:c r="C13" s="1"/>
      <x:c r="D13" s="1" t="str">
        <x:v>No chart is shown until actual data are supplied.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</x:row>
    <x:row r="14" ht="23" customHeight="1">
      <x:c r="A14" s="1" t="str">
        <x:v>Active customers / accounts</x:v>
      </x:c>
      <x:c r="B14" s="1" t="str">
        <x:f>IF(B10&lt;&gt;"Ready","Not supplied",SUMIFS('Monthly economics'!$G$6:$G$65,'Monthly economics'!$A$6:$A$65,$B$5,'Monthly economics'!$B$6:$B$65,$B$6))</x:f>
        <x:v>Not supplied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</x:row>
    <x:row r="15" ht="23" customHeight="1">
      <x:c r="A15" s="1" t="str">
        <x:v>Returning customers / accounts</x:v>
      </x:c>
      <x:c r="B15" s="1" t="str">
        <x:f>IF(B10&lt;&gt;"Ready","Not supplied",SUMIFS('Monthly economics'!$H$6:$H$65,'Monthly economics'!$A$6:$A$65,$B$5,'Monthly economics'!$B$6:$B$65,$B$6))</x:f>
        <x:v>Not supplied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</x:row>
    <x:row r="16" ht="23" customHeight="1">
      <x:c r="A16" s="1" t="str">
        <x:v>Net sales GBP</x:v>
      </x:c>
      <x:c r="B16" s="23" t="str">
        <x:f>IF(B10&lt;&gt;"Ready","Not supplied",SUMIFS('Monthly economics'!$J$6:$J$65,'Monthly economics'!$A$6:$A$65,$B$5,'Monthly economics'!$B$6:$B$65,$B$6))</x:f>
        <x:v>Not supplied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</x:row>
    <x:row r="17" ht="23" customHeight="1">
      <x:c r="A17" s="1" t="str">
        <x:v>Contribution before acquisition GBP</x:v>
      </x:c>
      <x:c r="B17" s="23" t="str">
        <x:f>IF(B10&lt;&gt;"Ready","Not supplied",SUMIFS('Monthly economics'!$S$6:$S$65,'Monthly economics'!$A$6:$A$65,$B$5,'Monthly economics'!$B$6:$B$65,$B$6))</x:f>
        <x:v>Not supplied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</x:row>
    <x:row r="18" ht="23" customHeight="1">
      <x:c r="A18" s="1" t="str">
        <x:v>Contribution after acquisition GBP</x:v>
      </x:c>
      <x:c r="B18" s="23" t="str">
        <x:f>IF(B10&lt;&gt;"Ready","Not supplied",SUMIFS('Monthly economics'!$W$6:$W$65,'Monthly economics'!$A$6:$A$65,$B$5,'Monthly economics'!$B$6:$B$65,$B$6))</x:f>
        <x:v>Not supplied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</x:row>
    <x:row r="20" ht="23" customHeight="1">
      <x:c r="A20" s="1" t="str">
        <x:v>Blended CAC GBP</x:v>
      </x:c>
      <x:c r="B20" s="23" t="str">
        <x:f>IF(B10&lt;&gt;"Ready","Not supplied",IF(B13=0,"n.a.",B12/B13))</x:f>
        <x:v>Not supplied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</x:row>
    <x:row r="21" ht="23" customHeight="1">
      <x:c r="A21" s="1" t="str">
        <x:v>Returning customer mix</x:v>
      </x:c>
      <x:c r="B21" s="22" t="str">
        <x:f>IF(B10&lt;&gt;"Ready","Not supplied",IF(B14=0,"n.a.",B15/B14))</x:f>
        <x:v>Not supplied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</x:row>
    <x:row r="24" ht="23" customHeight="1">
      <x:c r="A24" s="1" t="str">
        <x:v>Mature cohort customers</x:v>
      </x:c>
      <x:c r="B24" s="1" t="str">
        <x:f>IF(COUNTIFS('Cohort LTV'!$B$6:$B$65,$B$6,'Cohort LTV'!$D$6:$D$65,$B$8,'Cohort LTV'!$Q$6:$Q$65,"Ready")=0,"Not supplied",SUMIFS('Cohort LTV'!$G$6:$G$65,'Cohort LTV'!$B$6:$B$65,$B$6,'Cohort LTV'!$D$6:$D$65,$B$8,'Cohort LTV'!$Q$6:$Q$65,"Ready"))</x:f>
        <x:v>Not supplied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</x:row>
    <x:row r="25" ht="23" customHeight="1">
      <x:c r="A25" s="1" t="str">
        <x:v>Observed contribution LTV GBP</x:v>
      </x:c>
      <x:c r="B25" s="23" t="str">
        <x:f>IF(NOT(ISNUMBER(B24)),"Not supplied",SUMIFS('Cohort LTV'!$R$6:$R$65,'Cohort LTV'!$B$6:$B$65,$B$6,'Cohort LTV'!$D$6:$D$65,$B$8,'Cohort LTV'!$Q$6:$Q$65,"Ready")/B24)</x:f>
        <x:v>Not supplied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</x:row>
    <x:row r="26" ht="23" customHeight="1">
      <x:c r="A26" s="1" t="str">
        <x:v>Cohort repurchase rate</x:v>
      </x:c>
      <x:c r="B26" s="22" t="str">
        <x:f>IF(NOT(ISNUMBER(B24)),"Not supplied",SUMIFS('Cohort LTV'!$H$6:$H$65,'Cohort LTV'!$B$6:$B$65,$B$6,'Cohort LTV'!$D$6:$D$65,$B$8,'Cohort LTV'!$Q$6:$Q$65,"Ready")/B24)</x:f>
        <x:v>Not supplied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</x:row>
  </x:sheetData>
  <x:dataValidations count="3">
    <x:dataValidation type="list" sqref="B6">
      <x:formula1>"D2C,B2B"</x:formula1>
    </x:dataValidation>
    <x:dataValidation type="list" sqref="B7">
      <x:formula1>"Yes,No"</x:formula1>
    </x:dataValidation>
    <x:dataValidation type="list" sqref="B8">
      <x:formula1>"30,60,90,180"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2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6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23" customHeight="1">
      <x:c r="A2" s="2" t="str">
        <x:v>Monthly customer economics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3" customHeight="1">
      <x:c r="A3" s="3" t="str">
        <x:v>One complete month × motion × exclusive acquisition channel. GBP ex VAT. Enter explicit zeros where confirmed.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</x:row>
    <x:row r="5" ht="44" customHeight="1">
      <x:c r="A5" s="6" t="str">
        <x:v>Month start</x:v>
      </x:c>
      <x:c r="B5" s="6" t="str">
        <x:v>Motion</x:v>
      </x:c>
      <x:c r="C5" s="6" t="str">
        <x:v>Channel</x:v>
      </x:c>
      <x:c r="D5" s="6" t="str">
        <x:v>Complete?</x:v>
      </x:c>
      <x:c r="E5" s="6" t="str">
        <x:v>Acquisition spend GBP</x:v>
      </x:c>
      <x:c r="F5" s="6" t="str">
        <x:v>New customers</x:v>
      </x:c>
      <x:c r="G5" s="6" t="str">
        <x:v>Active customers</x:v>
      </x:c>
      <x:c r="H5" s="6" t="str">
        <x:v>Returning customers</x:v>
      </x:c>
      <x:c r="I5" s="6" t="str">
        <x:v>Orders</x:v>
      </x:c>
      <x:c r="J5" s="6" t="str">
        <x:v>Net sales GBP</x:v>
      </x:c>
      <x:c r="K5" s="6" t="str">
        <x:v>Shipping retained GBP</x:v>
      </x:c>
      <x:c r="L5" s="6" t="str">
        <x:v>COGS GBP</x:v>
      </x:c>
      <x:c r="M5" s="6" t="str">
        <x:v>Fulfilment GBP</x:v>
      </x:c>
      <x:c r="N5" s="6" t="str">
        <x:v>Freight GBP</x:v>
      </x:c>
      <x:c r="O5" s="6" t="str">
        <x:v>Payment fees GBP</x:v>
      </x:c>
      <x:c r="P5" s="6" t="str">
        <x:v>Commissions GBP</x:v>
      </x:c>
      <x:c r="Q5" s="6" t="str">
        <x:v>Variable service GBP</x:v>
      </x:c>
      <x:c r="R5" s="6" t="str">
        <x:v>Source / extract</x:v>
      </x:c>
      <x:c r="S5" s="6" t="str">
        <x:v>Contribution GBP</x:v>
      </x:c>
      <x:c r="T5" s="6" t="str">
        <x:v>Attributed CAC GBP</x:v>
      </x:c>
      <x:c r="U5" s="6" t="str">
        <x:v>Repeat customer mix</x:v>
      </x:c>
      <x:c r="V5" s="6" t="str">
        <x:v>AOV GBP</x:v>
      </x:c>
      <x:c r="W5" s="6" t="str">
        <x:v>After acquisition GBP</x:v>
      </x:c>
      <x:c r="X5" s="6" t="str">
        <x:v>Row status</x:v>
      </x:c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</x:row>
    <x:row r="6" ht="23" customHeight="1">
      <x:c r="A6" s="8"/>
      <x:c r="B6" s="7"/>
      <x:c r="C6" s="7"/>
      <x:c r="D6" s="7"/>
      <x:c r="E6" s="9"/>
      <x:c r="F6" s="11"/>
      <x:c r="G6" s="11"/>
      <x:c r="H6" s="11"/>
      <x:c r="I6" s="11"/>
      <x:c r="J6" s="9"/>
      <x:c r="K6" s="9"/>
      <x:c r="L6" s="9"/>
      <x:c r="M6" s="9"/>
      <x:c r="N6" s="9"/>
      <x:c r="O6" s="9"/>
      <x:c r="P6" s="9"/>
      <x:c r="Q6" s="9"/>
      <x:c r="R6" s="9"/>
      <x:c r="S6" s="13" t="str">
        <x:f>IF(X6="","",IF(X6&lt;&gt;"Ready","Not supplied",J6+K6-SUM(L6:Q6)))</x:f>
      </x:c>
      <x:c r="T6" s="13" t="str">
        <x:f>IF(X6="","",IF(X6&lt;&gt;"Ready","Not supplied",IF(F6=0,"n.a.",E6/F6)))</x:f>
      </x:c>
      <x:c r="U6" s="14" t="str">
        <x:f>IF(X6="","",IF(X6&lt;&gt;"Ready","Not supplied",IF(G6=0,"n.a.",H6/G6)))</x:f>
      </x:c>
      <x:c r="V6" s="13" t="str">
        <x:f>IF(X6="","",IF(X6&lt;&gt;"Ready","Not supplied",IF(I6=0,"n.a.",J6/I6)))</x:f>
      </x:c>
      <x:c r="W6" s="13" t="str">
        <x:f>IF(X6="","",IF(X6&lt;&gt;"Ready","Not supplied",S6-E6))</x:f>
      </x:c>
      <x:c r="X6" s="12" t="str">
        <x:f>IF(A6="","",IF(OR(B6="",C6="",D6&lt;&gt;"Yes",COUNT(E6:Q6)&lt;&gt;13,R6=""),"Missing input",IF(OR(H6&gt;G6,F6&gt;G6,F6+H6&lt;&gt;G6),"Customer counts mismatch",IF(COUNTIFS($A$6:$A$65,A6,$B$6:$B$65,B6,$C$6:$C$65,C6)&gt;1,"Duplicate key","Ready"))))</x:f>
      </x:c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</x:row>
    <x:row r="7" ht="23" customHeight="1">
      <x:c r="A7" s="8"/>
      <x:c r="B7" s="7"/>
      <x:c r="C7" s="7"/>
      <x:c r="D7" s="7"/>
      <x:c r="E7" s="9"/>
      <x:c r="F7" s="11"/>
      <x:c r="G7" s="11"/>
      <x:c r="H7" s="11"/>
      <x:c r="I7" s="11"/>
      <x:c r="J7" s="9"/>
      <x:c r="K7" s="9"/>
      <x:c r="L7" s="9"/>
      <x:c r="M7" s="9"/>
      <x:c r="N7" s="9"/>
      <x:c r="O7" s="9"/>
      <x:c r="P7" s="9"/>
      <x:c r="Q7" s="9"/>
      <x:c r="R7" s="9"/>
      <x:c r="S7" s="13" t="str">
        <x:f>IF(X7="","",IF(X7&lt;&gt;"Ready","Not supplied",J7+K7-SUM(L7:Q7)))</x:f>
      </x:c>
      <x:c r="T7" s="13" t="str">
        <x:f>IF(X7="","",IF(X7&lt;&gt;"Ready","Not supplied",IF(F7=0,"n.a.",E7/F7)))</x:f>
      </x:c>
      <x:c r="U7" s="14" t="str">
        <x:f>IF(X7="","",IF(X7&lt;&gt;"Ready","Not supplied",IF(G7=0,"n.a.",H7/G7)))</x:f>
      </x:c>
      <x:c r="V7" s="13" t="str">
        <x:f>IF(X7="","",IF(X7&lt;&gt;"Ready","Not supplied",IF(I7=0,"n.a.",J7/I7)))</x:f>
      </x:c>
      <x:c r="W7" s="13" t="str">
        <x:f>IF(X7="","",IF(X7&lt;&gt;"Ready","Not supplied",S7-E7))</x:f>
      </x:c>
      <x:c r="X7" s="12" t="str">
        <x:f>IF(A7="","",IF(OR(B7="",C7="",D7&lt;&gt;"Yes",COUNT(E7:Q7)&lt;&gt;13,R7=""),"Missing input",IF(OR(H7&gt;G7,F7&gt;G7,F7+H7&lt;&gt;G7),"Customer counts mismatch",IF(COUNTIFS($A$6:$A$65,A7,$B$6:$B$65,B7,$C$6:$C$65,C7)&gt;1,"Duplicate key","Ready"))))</x:f>
      </x:c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</x:row>
    <x:row r="8" ht="23" customHeight="1">
      <x:c r="A8" s="8"/>
      <x:c r="B8" s="7"/>
      <x:c r="C8" s="7"/>
      <x:c r="D8" s="7"/>
      <x:c r="E8" s="9"/>
      <x:c r="F8" s="11"/>
      <x:c r="G8" s="11"/>
      <x:c r="H8" s="11"/>
      <x:c r="I8" s="11"/>
      <x:c r="J8" s="9"/>
      <x:c r="K8" s="9"/>
      <x:c r="L8" s="9"/>
      <x:c r="M8" s="9"/>
      <x:c r="N8" s="9"/>
      <x:c r="O8" s="9"/>
      <x:c r="P8" s="9"/>
      <x:c r="Q8" s="9"/>
      <x:c r="R8" s="9"/>
      <x:c r="S8" s="13" t="str">
        <x:f>IF(X8="","",IF(X8&lt;&gt;"Ready","Not supplied",J8+K8-SUM(L8:Q8)))</x:f>
      </x:c>
      <x:c r="T8" s="13" t="str">
        <x:f>IF(X8="","",IF(X8&lt;&gt;"Ready","Not supplied",IF(F8=0,"n.a.",E8/F8)))</x:f>
      </x:c>
      <x:c r="U8" s="14" t="str">
        <x:f>IF(X8="","",IF(X8&lt;&gt;"Ready","Not supplied",IF(G8=0,"n.a.",H8/G8)))</x:f>
      </x:c>
      <x:c r="V8" s="13" t="str">
        <x:f>IF(X8="","",IF(X8&lt;&gt;"Ready","Not supplied",IF(I8=0,"n.a.",J8/I8)))</x:f>
      </x:c>
      <x:c r="W8" s="13" t="str">
        <x:f>IF(X8="","",IF(X8&lt;&gt;"Ready","Not supplied",S8-E8))</x:f>
      </x:c>
      <x:c r="X8" s="12" t="str">
        <x:f>IF(A8="","",IF(OR(B8="",C8="",D8&lt;&gt;"Yes",COUNT(E8:Q8)&lt;&gt;13,R8=""),"Missing input",IF(OR(H8&gt;G8,F8&gt;G8,F8+H8&lt;&gt;G8),"Customer counts mismatch",IF(COUNTIFS($A$6:$A$65,A8,$B$6:$B$65,B8,$C$6:$C$65,C8)&gt;1,"Duplicate key","Ready"))))</x:f>
      </x:c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</x:row>
    <x:row r="9" ht="23" customHeight="1">
      <x:c r="A9" s="8"/>
      <x:c r="B9" s="7"/>
      <x:c r="C9" s="7"/>
      <x:c r="D9" s="7"/>
      <x:c r="E9" s="9"/>
      <x:c r="F9" s="11"/>
      <x:c r="G9" s="11"/>
      <x:c r="H9" s="11"/>
      <x:c r="I9" s="11"/>
      <x:c r="J9" s="9"/>
      <x:c r="K9" s="9"/>
      <x:c r="L9" s="9"/>
      <x:c r="M9" s="9"/>
      <x:c r="N9" s="9"/>
      <x:c r="O9" s="9"/>
      <x:c r="P9" s="9"/>
      <x:c r="Q9" s="9"/>
      <x:c r="R9" s="9"/>
      <x:c r="S9" s="13" t="str">
        <x:f>IF(X9="","",IF(X9&lt;&gt;"Ready","Not supplied",J9+K9-SUM(L9:Q9)))</x:f>
      </x:c>
      <x:c r="T9" s="13" t="str">
        <x:f>IF(X9="","",IF(X9&lt;&gt;"Ready","Not supplied",IF(F9=0,"n.a.",E9/F9)))</x:f>
      </x:c>
      <x:c r="U9" s="14" t="str">
        <x:f>IF(X9="","",IF(X9&lt;&gt;"Ready","Not supplied",IF(G9=0,"n.a.",H9/G9)))</x:f>
      </x:c>
      <x:c r="V9" s="13" t="str">
        <x:f>IF(X9="","",IF(X9&lt;&gt;"Ready","Not supplied",IF(I9=0,"n.a.",J9/I9)))</x:f>
      </x:c>
      <x:c r="W9" s="13" t="str">
        <x:f>IF(X9="","",IF(X9&lt;&gt;"Ready","Not supplied",S9-E9))</x:f>
      </x:c>
      <x:c r="X9" s="12" t="str">
        <x:f>IF(A9="","",IF(OR(B9="",C9="",D9&lt;&gt;"Yes",COUNT(E9:Q9)&lt;&gt;13,R9=""),"Missing input",IF(OR(H9&gt;G9,F9&gt;G9,F9+H9&lt;&gt;G9),"Customer counts mismatch",IF(COUNTIFS($A$6:$A$65,A9,$B$6:$B$65,B9,$C$6:$C$65,C9)&gt;1,"Duplicate key","Ready"))))</x:f>
      </x:c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</x:row>
    <x:row r="10" ht="23" customHeight="1">
      <x:c r="A10" s="8"/>
      <x:c r="B10" s="7"/>
      <x:c r="C10" s="7"/>
      <x:c r="D10" s="7"/>
      <x:c r="E10" s="9"/>
      <x:c r="F10" s="11"/>
      <x:c r="G10" s="11"/>
      <x:c r="H10" s="11"/>
      <x:c r="I10" s="11"/>
      <x:c r="J10" s="9"/>
      <x:c r="K10" s="9"/>
      <x:c r="L10" s="9"/>
      <x:c r="M10" s="9"/>
      <x:c r="N10" s="9"/>
      <x:c r="O10" s="9"/>
      <x:c r="P10" s="9"/>
      <x:c r="Q10" s="9"/>
      <x:c r="R10" s="9"/>
      <x:c r="S10" s="13" t="str">
        <x:f>IF(X10="","",IF(X10&lt;&gt;"Ready","Not supplied",J10+K10-SUM(L10:Q10)))</x:f>
      </x:c>
      <x:c r="T10" s="13" t="str">
        <x:f>IF(X10="","",IF(X10&lt;&gt;"Ready","Not supplied",IF(F10=0,"n.a.",E10/F10)))</x:f>
      </x:c>
      <x:c r="U10" s="14" t="str">
        <x:f>IF(X10="","",IF(X10&lt;&gt;"Ready","Not supplied",IF(G10=0,"n.a.",H10/G10)))</x:f>
      </x:c>
      <x:c r="V10" s="13" t="str">
        <x:f>IF(X10="","",IF(X10&lt;&gt;"Ready","Not supplied",IF(I10=0,"n.a.",J10/I10)))</x:f>
      </x:c>
      <x:c r="W10" s="13" t="str">
        <x:f>IF(X10="","",IF(X10&lt;&gt;"Ready","Not supplied",S10-E10))</x:f>
      </x:c>
      <x:c r="X10" s="12" t="str">
        <x:f>IF(A10="","",IF(OR(B10="",C10="",D10&lt;&gt;"Yes",COUNT(E10:Q10)&lt;&gt;13,R10=""),"Missing input",IF(OR(H10&gt;G10,F10&gt;G10,F10+H10&lt;&gt;G10),"Customer counts mismatch",IF(COUNTIFS($A$6:$A$65,A10,$B$6:$B$65,B10,$C$6:$C$65,C10)&gt;1,"Duplicate key","Ready"))))</x:f>
      </x:c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</x:row>
    <x:row r="11" ht="23" customHeight="1">
      <x:c r="A11" s="8"/>
      <x:c r="B11" s="7"/>
      <x:c r="C11" s="7"/>
      <x:c r="D11" s="7"/>
      <x:c r="E11" s="9"/>
      <x:c r="F11" s="11"/>
      <x:c r="G11" s="11"/>
      <x:c r="H11" s="11"/>
      <x:c r="I11" s="11"/>
      <x:c r="J11" s="9"/>
      <x:c r="K11" s="9"/>
      <x:c r="L11" s="9"/>
      <x:c r="M11" s="9"/>
      <x:c r="N11" s="9"/>
      <x:c r="O11" s="9"/>
      <x:c r="P11" s="9"/>
      <x:c r="Q11" s="9"/>
      <x:c r="R11" s="9"/>
      <x:c r="S11" s="13" t="str">
        <x:f>IF(X11="","",IF(X11&lt;&gt;"Ready","Not supplied",J11+K11-SUM(L11:Q11)))</x:f>
      </x:c>
      <x:c r="T11" s="13" t="str">
        <x:f>IF(X11="","",IF(X11&lt;&gt;"Ready","Not supplied",IF(F11=0,"n.a.",E11/F11)))</x:f>
      </x:c>
      <x:c r="U11" s="14" t="str">
        <x:f>IF(X11="","",IF(X11&lt;&gt;"Ready","Not supplied",IF(G11=0,"n.a.",H11/G11)))</x:f>
      </x:c>
      <x:c r="V11" s="13" t="str">
        <x:f>IF(X11="","",IF(X11&lt;&gt;"Ready","Not supplied",IF(I11=0,"n.a.",J11/I11)))</x:f>
      </x:c>
      <x:c r="W11" s="13" t="str">
        <x:f>IF(X11="","",IF(X11&lt;&gt;"Ready","Not supplied",S11-E11))</x:f>
      </x:c>
      <x:c r="X11" s="12" t="str">
        <x:f>IF(A11="","",IF(OR(B11="",C11="",D11&lt;&gt;"Yes",COUNT(E11:Q11)&lt;&gt;13,R11=""),"Missing input",IF(OR(H11&gt;G11,F11&gt;G11,F11+H11&lt;&gt;G11),"Customer counts mismatch",IF(COUNTIFS($A$6:$A$65,A11,$B$6:$B$65,B11,$C$6:$C$65,C11)&gt;1,"Duplicate key","Ready"))))</x:f>
      </x:c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</x:row>
    <x:row r="12" ht="23" customHeight="1">
      <x:c r="A12" s="8"/>
      <x:c r="B12" s="7"/>
      <x:c r="C12" s="7"/>
      <x:c r="D12" s="7"/>
      <x:c r="E12" s="9"/>
      <x:c r="F12" s="11"/>
      <x:c r="G12" s="11"/>
      <x:c r="H12" s="11"/>
      <x:c r="I12" s="11"/>
      <x:c r="J12" s="9"/>
      <x:c r="K12" s="9"/>
      <x:c r="L12" s="9"/>
      <x:c r="M12" s="9"/>
      <x:c r="N12" s="9"/>
      <x:c r="O12" s="9"/>
      <x:c r="P12" s="9"/>
      <x:c r="Q12" s="9"/>
      <x:c r="R12" s="9"/>
      <x:c r="S12" s="13" t="str">
        <x:f>IF(X12="","",IF(X12&lt;&gt;"Ready","Not supplied",J12+K12-SUM(L12:Q12)))</x:f>
      </x:c>
      <x:c r="T12" s="13" t="str">
        <x:f>IF(X12="","",IF(X12&lt;&gt;"Ready","Not supplied",IF(F12=0,"n.a.",E12/F12)))</x:f>
      </x:c>
      <x:c r="U12" s="14" t="str">
        <x:f>IF(X12="","",IF(X12&lt;&gt;"Ready","Not supplied",IF(G12=0,"n.a.",H12/G12)))</x:f>
      </x:c>
      <x:c r="V12" s="13" t="str">
        <x:f>IF(X12="","",IF(X12&lt;&gt;"Ready","Not supplied",IF(I12=0,"n.a.",J12/I12)))</x:f>
      </x:c>
      <x:c r="W12" s="13" t="str">
        <x:f>IF(X12="","",IF(X12&lt;&gt;"Ready","Not supplied",S12-E12))</x:f>
      </x:c>
      <x:c r="X12" s="12" t="str">
        <x:f>IF(A12="","",IF(OR(B12="",C12="",D12&lt;&gt;"Yes",COUNT(E12:Q12)&lt;&gt;13,R12=""),"Missing input",IF(OR(H12&gt;G12,F12&gt;G12,F12+H12&lt;&gt;G12),"Customer counts mismatch",IF(COUNTIFS($A$6:$A$65,A12,$B$6:$B$65,B12,$C$6:$C$65,C12)&gt;1,"Duplicate key","Ready"))))</x:f>
      </x:c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</x:row>
    <x:row r="13" ht="23" customHeight="1">
      <x:c r="A13" s="8"/>
      <x:c r="B13" s="7"/>
      <x:c r="C13" s="7"/>
      <x:c r="D13" s="7"/>
      <x:c r="E13" s="9"/>
      <x:c r="F13" s="11"/>
      <x:c r="G13" s="11"/>
      <x:c r="H13" s="11"/>
      <x:c r="I13" s="11"/>
      <x:c r="J13" s="9"/>
      <x:c r="K13" s="9"/>
      <x:c r="L13" s="9"/>
      <x:c r="M13" s="9"/>
      <x:c r="N13" s="9"/>
      <x:c r="O13" s="9"/>
      <x:c r="P13" s="9"/>
      <x:c r="Q13" s="9"/>
      <x:c r="R13" s="9"/>
      <x:c r="S13" s="13" t="str">
        <x:f>IF(X13="","",IF(X13&lt;&gt;"Ready","Not supplied",J13+K13-SUM(L13:Q13)))</x:f>
      </x:c>
      <x:c r="T13" s="13" t="str">
        <x:f>IF(X13="","",IF(X13&lt;&gt;"Ready","Not supplied",IF(F13=0,"n.a.",E13/F13)))</x:f>
      </x:c>
      <x:c r="U13" s="14" t="str">
        <x:f>IF(X13="","",IF(X13&lt;&gt;"Ready","Not supplied",IF(G13=0,"n.a.",H13/G13)))</x:f>
      </x:c>
      <x:c r="V13" s="13" t="str">
        <x:f>IF(X13="","",IF(X13&lt;&gt;"Ready","Not supplied",IF(I13=0,"n.a.",J13/I13)))</x:f>
      </x:c>
      <x:c r="W13" s="13" t="str">
        <x:f>IF(X13="","",IF(X13&lt;&gt;"Ready","Not supplied",S13-E13))</x:f>
      </x:c>
      <x:c r="X13" s="12" t="str">
        <x:f>IF(A13="","",IF(OR(B13="",C13="",D13&lt;&gt;"Yes",COUNT(E13:Q13)&lt;&gt;13,R13=""),"Missing input",IF(OR(H13&gt;G13,F13&gt;G13,F13+H13&lt;&gt;G13),"Customer counts mismatch",IF(COUNTIFS($A$6:$A$65,A13,$B$6:$B$65,B13,$C$6:$C$65,C13)&gt;1,"Duplicate key","Ready"))))</x:f>
      </x:c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</x:row>
    <x:row r="14" ht="23" customHeight="1">
      <x:c r="A14" s="8"/>
      <x:c r="B14" s="7"/>
      <x:c r="C14" s="7"/>
      <x:c r="D14" s="7"/>
      <x:c r="E14" s="9"/>
      <x:c r="F14" s="11"/>
      <x:c r="G14" s="11"/>
      <x:c r="H14" s="11"/>
      <x:c r="I14" s="11"/>
      <x:c r="J14" s="9"/>
      <x:c r="K14" s="9"/>
      <x:c r="L14" s="9"/>
      <x:c r="M14" s="9"/>
      <x:c r="N14" s="9"/>
      <x:c r="O14" s="9"/>
      <x:c r="P14" s="9"/>
      <x:c r="Q14" s="9"/>
      <x:c r="R14" s="9"/>
      <x:c r="S14" s="13" t="str">
        <x:f>IF(X14="","",IF(X14&lt;&gt;"Ready","Not supplied",J14+K14-SUM(L14:Q14)))</x:f>
      </x:c>
      <x:c r="T14" s="13" t="str">
        <x:f>IF(X14="","",IF(X14&lt;&gt;"Ready","Not supplied",IF(F14=0,"n.a.",E14/F14)))</x:f>
      </x:c>
      <x:c r="U14" s="14" t="str">
        <x:f>IF(X14="","",IF(X14&lt;&gt;"Ready","Not supplied",IF(G14=0,"n.a.",H14/G14)))</x:f>
      </x:c>
      <x:c r="V14" s="13" t="str">
        <x:f>IF(X14="","",IF(X14&lt;&gt;"Ready","Not supplied",IF(I14=0,"n.a.",J14/I14)))</x:f>
      </x:c>
      <x:c r="W14" s="13" t="str">
        <x:f>IF(X14="","",IF(X14&lt;&gt;"Ready","Not supplied",S14-E14))</x:f>
      </x:c>
      <x:c r="X14" s="12" t="str">
        <x:f>IF(A14="","",IF(OR(B14="",C14="",D14&lt;&gt;"Yes",COUNT(E14:Q14)&lt;&gt;13,R14=""),"Missing input",IF(OR(H14&gt;G14,F14&gt;G14,F14+H14&lt;&gt;G14),"Customer counts mismatch",IF(COUNTIFS($A$6:$A$65,A14,$B$6:$B$65,B14,$C$6:$C$65,C14)&gt;1,"Duplicate key","Ready"))))</x:f>
      </x:c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</x:row>
    <x:row r="15" ht="23" customHeight="1">
      <x:c r="A15" s="8"/>
      <x:c r="B15" s="7"/>
      <x:c r="C15" s="7"/>
      <x:c r="D15" s="7"/>
      <x:c r="E15" s="9"/>
      <x:c r="F15" s="11"/>
      <x:c r="G15" s="11"/>
      <x:c r="H15" s="11"/>
      <x:c r="I15" s="11"/>
      <x:c r="J15" s="9"/>
      <x:c r="K15" s="9"/>
      <x:c r="L15" s="9"/>
      <x:c r="M15" s="9"/>
      <x:c r="N15" s="9"/>
      <x:c r="O15" s="9"/>
      <x:c r="P15" s="9"/>
      <x:c r="Q15" s="9"/>
      <x:c r="R15" s="9"/>
      <x:c r="S15" s="13" t="str">
        <x:f>IF(X15="","",IF(X15&lt;&gt;"Ready","Not supplied",J15+K15-SUM(L15:Q15)))</x:f>
      </x:c>
      <x:c r="T15" s="13" t="str">
        <x:f>IF(X15="","",IF(X15&lt;&gt;"Ready","Not supplied",IF(F15=0,"n.a.",E15/F15)))</x:f>
      </x:c>
      <x:c r="U15" s="14" t="str">
        <x:f>IF(X15="","",IF(X15&lt;&gt;"Ready","Not supplied",IF(G15=0,"n.a.",H15/G15)))</x:f>
      </x:c>
      <x:c r="V15" s="13" t="str">
        <x:f>IF(X15="","",IF(X15&lt;&gt;"Ready","Not supplied",IF(I15=0,"n.a.",J15/I15)))</x:f>
      </x:c>
      <x:c r="W15" s="13" t="str">
        <x:f>IF(X15="","",IF(X15&lt;&gt;"Ready","Not supplied",S15-E15))</x:f>
      </x:c>
      <x:c r="X15" s="12" t="str">
        <x:f>IF(A15="","",IF(OR(B15="",C15="",D15&lt;&gt;"Yes",COUNT(E15:Q15)&lt;&gt;13,R15=""),"Missing input",IF(OR(H15&gt;G15,F15&gt;G15,F15+H15&lt;&gt;G15),"Customer counts mismatch",IF(COUNTIFS($A$6:$A$65,A15,$B$6:$B$65,B15,$C$6:$C$65,C15)&gt;1,"Duplicate key","Ready"))))</x:f>
      </x:c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</x:row>
    <x:row r="16" ht="23" customHeight="1">
      <x:c r="A16" s="8"/>
      <x:c r="B16" s="7"/>
      <x:c r="C16" s="7"/>
      <x:c r="D16" s="7"/>
      <x:c r="E16" s="9"/>
      <x:c r="F16" s="11"/>
      <x:c r="G16" s="11"/>
      <x:c r="H16" s="11"/>
      <x:c r="I16" s="11"/>
      <x:c r="J16" s="9"/>
      <x:c r="K16" s="9"/>
      <x:c r="L16" s="9"/>
      <x:c r="M16" s="9"/>
      <x:c r="N16" s="9"/>
      <x:c r="O16" s="9"/>
      <x:c r="P16" s="9"/>
      <x:c r="Q16" s="9"/>
      <x:c r="R16" s="9"/>
      <x:c r="S16" s="13" t="str">
        <x:f>IF(X16="","",IF(X16&lt;&gt;"Ready","Not supplied",J16+K16-SUM(L16:Q16)))</x:f>
      </x:c>
      <x:c r="T16" s="13" t="str">
        <x:f>IF(X16="","",IF(X16&lt;&gt;"Ready","Not supplied",IF(F16=0,"n.a.",E16/F16)))</x:f>
      </x:c>
      <x:c r="U16" s="14" t="str">
        <x:f>IF(X16="","",IF(X16&lt;&gt;"Ready","Not supplied",IF(G16=0,"n.a.",H16/G16)))</x:f>
      </x:c>
      <x:c r="V16" s="13" t="str">
        <x:f>IF(X16="","",IF(X16&lt;&gt;"Ready","Not supplied",IF(I16=0,"n.a.",J16/I16)))</x:f>
      </x:c>
      <x:c r="W16" s="13" t="str">
        <x:f>IF(X16="","",IF(X16&lt;&gt;"Ready","Not supplied",S16-E16))</x:f>
      </x:c>
      <x:c r="X16" s="12" t="str">
        <x:f>IF(A16="","",IF(OR(B16="",C16="",D16&lt;&gt;"Yes",COUNT(E16:Q16)&lt;&gt;13,R16=""),"Missing input",IF(OR(H16&gt;G16,F16&gt;G16,F16+H16&lt;&gt;G16),"Customer counts mismatch",IF(COUNTIFS($A$6:$A$65,A16,$B$6:$B$65,B16,$C$6:$C$65,C16)&gt;1,"Duplicate key","Ready"))))</x:f>
      </x:c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</x:row>
    <x:row r="17" ht="23" customHeight="1">
      <x:c r="A17" s="8"/>
      <x:c r="B17" s="7"/>
      <x:c r="C17" s="7"/>
      <x:c r="D17" s="7"/>
      <x:c r="E17" s="9"/>
      <x:c r="F17" s="11"/>
      <x:c r="G17" s="11"/>
      <x:c r="H17" s="11"/>
      <x:c r="I17" s="11"/>
      <x:c r="J17" s="9"/>
      <x:c r="K17" s="9"/>
      <x:c r="L17" s="9"/>
      <x:c r="M17" s="9"/>
      <x:c r="N17" s="9"/>
      <x:c r="O17" s="9"/>
      <x:c r="P17" s="9"/>
      <x:c r="Q17" s="9"/>
      <x:c r="R17" s="9"/>
      <x:c r="S17" s="13" t="str">
        <x:f>IF(X17="","",IF(X17&lt;&gt;"Ready","Not supplied",J17+K17-SUM(L17:Q17)))</x:f>
      </x:c>
      <x:c r="T17" s="13" t="str">
        <x:f>IF(X17="","",IF(X17&lt;&gt;"Ready","Not supplied",IF(F17=0,"n.a.",E17/F17)))</x:f>
      </x:c>
      <x:c r="U17" s="14" t="str">
        <x:f>IF(X17="","",IF(X17&lt;&gt;"Ready","Not supplied",IF(G17=0,"n.a.",H17/G17)))</x:f>
      </x:c>
      <x:c r="V17" s="13" t="str">
        <x:f>IF(X17="","",IF(X17&lt;&gt;"Ready","Not supplied",IF(I17=0,"n.a.",J17/I17)))</x:f>
      </x:c>
      <x:c r="W17" s="13" t="str">
        <x:f>IF(X17="","",IF(X17&lt;&gt;"Ready","Not supplied",S17-E17))</x:f>
      </x:c>
      <x:c r="X17" s="12" t="str">
        <x:f>IF(A17="","",IF(OR(B17="",C17="",D17&lt;&gt;"Yes",COUNT(E17:Q17)&lt;&gt;13,R17=""),"Missing input",IF(OR(H17&gt;G17,F17&gt;G17,F17+H17&lt;&gt;G17),"Customer counts mismatch",IF(COUNTIFS($A$6:$A$65,A17,$B$6:$B$65,B17,$C$6:$C$65,C17)&gt;1,"Duplicate key","Ready"))))</x:f>
      </x:c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</x:row>
    <x:row r="18" ht="23" customHeight="1">
      <x:c r="A18" s="8"/>
      <x:c r="B18" s="7"/>
      <x:c r="C18" s="7"/>
      <x:c r="D18" s="7"/>
      <x:c r="E18" s="9"/>
      <x:c r="F18" s="11"/>
      <x:c r="G18" s="11"/>
      <x:c r="H18" s="11"/>
      <x:c r="I18" s="11"/>
      <x:c r="J18" s="9"/>
      <x:c r="K18" s="9"/>
      <x:c r="L18" s="9"/>
      <x:c r="M18" s="9"/>
      <x:c r="N18" s="9"/>
      <x:c r="O18" s="9"/>
      <x:c r="P18" s="9"/>
      <x:c r="Q18" s="9"/>
      <x:c r="R18" s="9"/>
      <x:c r="S18" s="13" t="str">
        <x:f>IF(X18="","",IF(X18&lt;&gt;"Ready","Not supplied",J18+K18-SUM(L18:Q18)))</x:f>
      </x:c>
      <x:c r="T18" s="13" t="str">
        <x:f>IF(X18="","",IF(X18&lt;&gt;"Ready","Not supplied",IF(F18=0,"n.a.",E18/F18)))</x:f>
      </x:c>
      <x:c r="U18" s="14" t="str">
        <x:f>IF(X18="","",IF(X18&lt;&gt;"Ready","Not supplied",IF(G18=0,"n.a.",H18/G18)))</x:f>
      </x:c>
      <x:c r="V18" s="13" t="str">
        <x:f>IF(X18="","",IF(X18&lt;&gt;"Ready","Not supplied",IF(I18=0,"n.a.",J18/I18)))</x:f>
      </x:c>
      <x:c r="W18" s="13" t="str">
        <x:f>IF(X18="","",IF(X18&lt;&gt;"Ready","Not supplied",S18-E18))</x:f>
      </x:c>
      <x:c r="X18" s="12" t="str">
        <x:f>IF(A18="","",IF(OR(B18="",C18="",D18&lt;&gt;"Yes",COUNT(E18:Q18)&lt;&gt;13,R18=""),"Missing input",IF(OR(H18&gt;G18,F18&gt;G18,F18+H18&lt;&gt;G18),"Customer counts mismatch",IF(COUNTIFS($A$6:$A$65,A18,$B$6:$B$65,B18,$C$6:$C$65,C18)&gt;1,"Duplicate key","Ready"))))</x:f>
      </x:c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</x:row>
    <x:row r="19" ht="23" customHeight="1">
      <x:c r="A19" s="8"/>
      <x:c r="B19" s="7"/>
      <x:c r="C19" s="7"/>
      <x:c r="D19" s="7"/>
      <x:c r="E19" s="9"/>
      <x:c r="F19" s="11"/>
      <x:c r="G19" s="11"/>
      <x:c r="H19" s="11"/>
      <x:c r="I19" s="11"/>
      <x:c r="J19" s="9"/>
      <x:c r="K19" s="9"/>
      <x:c r="L19" s="9"/>
      <x:c r="M19" s="9"/>
      <x:c r="N19" s="9"/>
      <x:c r="O19" s="9"/>
      <x:c r="P19" s="9"/>
      <x:c r="Q19" s="9"/>
      <x:c r="R19" s="9"/>
      <x:c r="S19" s="13" t="str">
        <x:f>IF(X19="","",IF(X19&lt;&gt;"Ready","Not supplied",J19+K19-SUM(L19:Q19)))</x:f>
      </x:c>
      <x:c r="T19" s="13" t="str">
        <x:f>IF(X19="","",IF(X19&lt;&gt;"Ready","Not supplied",IF(F19=0,"n.a.",E19/F19)))</x:f>
      </x:c>
      <x:c r="U19" s="14" t="str">
        <x:f>IF(X19="","",IF(X19&lt;&gt;"Ready","Not supplied",IF(G19=0,"n.a.",H19/G19)))</x:f>
      </x:c>
      <x:c r="V19" s="13" t="str">
        <x:f>IF(X19="","",IF(X19&lt;&gt;"Ready","Not supplied",IF(I19=0,"n.a.",J19/I19)))</x:f>
      </x:c>
      <x:c r="W19" s="13" t="str">
        <x:f>IF(X19="","",IF(X19&lt;&gt;"Ready","Not supplied",S19-E19))</x:f>
      </x:c>
      <x:c r="X19" s="12" t="str">
        <x:f>IF(A19="","",IF(OR(B19="",C19="",D19&lt;&gt;"Yes",COUNT(E19:Q19)&lt;&gt;13,R19=""),"Missing input",IF(OR(H19&gt;G19,F19&gt;G19,F19+H19&lt;&gt;G19),"Customer counts mismatch",IF(COUNTIFS($A$6:$A$65,A19,$B$6:$B$65,B19,$C$6:$C$65,C19)&gt;1,"Duplicate key","Ready"))))</x:f>
      </x:c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</x:row>
    <x:row r="20" ht="23" customHeight="1">
      <x:c r="A20" s="8"/>
      <x:c r="B20" s="7"/>
      <x:c r="C20" s="7"/>
      <x:c r="D20" s="7"/>
      <x:c r="E20" s="9"/>
      <x:c r="F20" s="11"/>
      <x:c r="G20" s="11"/>
      <x:c r="H20" s="11"/>
      <x:c r="I20" s="11"/>
      <x:c r="J20" s="9"/>
      <x:c r="K20" s="9"/>
      <x:c r="L20" s="9"/>
      <x:c r="M20" s="9"/>
      <x:c r="N20" s="9"/>
      <x:c r="O20" s="9"/>
      <x:c r="P20" s="9"/>
      <x:c r="Q20" s="9"/>
      <x:c r="R20" s="9"/>
      <x:c r="S20" s="13" t="str">
        <x:f>IF(X20="","",IF(X20&lt;&gt;"Ready","Not supplied",J20+K20-SUM(L20:Q20)))</x:f>
      </x:c>
      <x:c r="T20" s="13" t="str">
        <x:f>IF(X20="","",IF(X20&lt;&gt;"Ready","Not supplied",IF(F20=0,"n.a.",E20/F20)))</x:f>
      </x:c>
      <x:c r="U20" s="14" t="str">
        <x:f>IF(X20="","",IF(X20&lt;&gt;"Ready","Not supplied",IF(G20=0,"n.a.",H20/G20)))</x:f>
      </x:c>
      <x:c r="V20" s="13" t="str">
        <x:f>IF(X20="","",IF(X20&lt;&gt;"Ready","Not supplied",IF(I20=0,"n.a.",J20/I20)))</x:f>
      </x:c>
      <x:c r="W20" s="13" t="str">
        <x:f>IF(X20="","",IF(X20&lt;&gt;"Ready","Not supplied",S20-E20))</x:f>
      </x:c>
      <x:c r="X20" s="12" t="str">
        <x:f>IF(A20="","",IF(OR(B20="",C20="",D20&lt;&gt;"Yes",COUNT(E20:Q20)&lt;&gt;13,R20=""),"Missing input",IF(OR(H20&gt;G20,F20&gt;G20,F20+H20&lt;&gt;G20),"Customer counts mismatch",IF(COUNTIFS($A$6:$A$65,A20,$B$6:$B$65,B20,$C$6:$C$65,C20)&gt;1,"Duplicate key","Ready"))))</x:f>
      </x:c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</x:row>
    <x:row r="21" ht="23" customHeight="1">
      <x:c r="A21" s="8"/>
      <x:c r="B21" s="7"/>
      <x:c r="C21" s="7"/>
      <x:c r="D21" s="7"/>
      <x:c r="E21" s="9"/>
      <x:c r="F21" s="11"/>
      <x:c r="G21" s="11"/>
      <x:c r="H21" s="11"/>
      <x:c r="I21" s="11"/>
      <x:c r="J21" s="9"/>
      <x:c r="K21" s="9"/>
      <x:c r="L21" s="9"/>
      <x:c r="M21" s="9"/>
      <x:c r="N21" s="9"/>
      <x:c r="O21" s="9"/>
      <x:c r="P21" s="9"/>
      <x:c r="Q21" s="9"/>
      <x:c r="R21" s="9"/>
      <x:c r="S21" s="13" t="str">
        <x:f>IF(X21="","",IF(X21&lt;&gt;"Ready","Not supplied",J21+K21-SUM(L21:Q21)))</x:f>
      </x:c>
      <x:c r="T21" s="13" t="str">
        <x:f>IF(X21="","",IF(X21&lt;&gt;"Ready","Not supplied",IF(F21=0,"n.a.",E21/F21)))</x:f>
      </x:c>
      <x:c r="U21" s="14" t="str">
        <x:f>IF(X21="","",IF(X21&lt;&gt;"Ready","Not supplied",IF(G21=0,"n.a.",H21/G21)))</x:f>
      </x:c>
      <x:c r="V21" s="13" t="str">
        <x:f>IF(X21="","",IF(X21&lt;&gt;"Ready","Not supplied",IF(I21=0,"n.a.",J21/I21)))</x:f>
      </x:c>
      <x:c r="W21" s="13" t="str">
        <x:f>IF(X21="","",IF(X21&lt;&gt;"Ready","Not supplied",S21-E21))</x:f>
      </x:c>
      <x:c r="X21" s="12" t="str">
        <x:f>IF(A21="","",IF(OR(B21="",C21="",D21&lt;&gt;"Yes",COUNT(E21:Q21)&lt;&gt;13,R21=""),"Missing input",IF(OR(H21&gt;G21,F21&gt;G21,F21+H21&lt;&gt;G21),"Customer counts mismatch",IF(COUNTIFS($A$6:$A$65,A21,$B$6:$B$65,B21,$C$6:$C$65,C21)&gt;1,"Duplicate key","Ready"))))</x:f>
      </x:c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</x:row>
    <x:row r="22" ht="23" customHeight="1">
      <x:c r="A22" s="8"/>
      <x:c r="B22" s="7"/>
      <x:c r="C22" s="7"/>
      <x:c r="D22" s="7"/>
      <x:c r="E22" s="9"/>
      <x:c r="F22" s="11"/>
      <x:c r="G22" s="11"/>
      <x:c r="H22" s="11"/>
      <x:c r="I22" s="11"/>
      <x:c r="J22" s="9"/>
      <x:c r="K22" s="9"/>
      <x:c r="L22" s="9"/>
      <x:c r="M22" s="9"/>
      <x:c r="N22" s="9"/>
      <x:c r="O22" s="9"/>
      <x:c r="P22" s="9"/>
      <x:c r="Q22" s="9"/>
      <x:c r="R22" s="9"/>
      <x:c r="S22" s="13" t="str">
        <x:f>IF(X22="","",IF(X22&lt;&gt;"Ready","Not supplied",J22+K22-SUM(L22:Q22)))</x:f>
      </x:c>
      <x:c r="T22" s="13" t="str">
        <x:f>IF(X22="","",IF(X22&lt;&gt;"Ready","Not supplied",IF(F22=0,"n.a.",E22/F22)))</x:f>
      </x:c>
      <x:c r="U22" s="14" t="str">
        <x:f>IF(X22="","",IF(X22&lt;&gt;"Ready","Not supplied",IF(G22=0,"n.a.",H22/G22)))</x:f>
      </x:c>
      <x:c r="V22" s="13" t="str">
        <x:f>IF(X22="","",IF(X22&lt;&gt;"Ready","Not supplied",IF(I22=0,"n.a.",J22/I22)))</x:f>
      </x:c>
      <x:c r="W22" s="13" t="str">
        <x:f>IF(X22="","",IF(X22&lt;&gt;"Ready","Not supplied",S22-E22))</x:f>
      </x:c>
      <x:c r="X22" s="12" t="str">
        <x:f>IF(A22="","",IF(OR(B22="",C22="",D22&lt;&gt;"Yes",COUNT(E22:Q22)&lt;&gt;13,R22=""),"Missing input",IF(OR(H22&gt;G22,F22&gt;G22,F22+H22&lt;&gt;G22),"Customer counts mismatch",IF(COUNTIFS($A$6:$A$65,A22,$B$6:$B$65,B22,$C$6:$C$65,C22)&gt;1,"Duplicate key","Ready"))))</x:f>
      </x:c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</x:row>
    <x:row r="23" ht="23" customHeight="1">
      <x:c r="A23" s="8"/>
      <x:c r="B23" s="7"/>
      <x:c r="C23" s="7"/>
      <x:c r="D23" s="7"/>
      <x:c r="E23" s="9"/>
      <x:c r="F23" s="11"/>
      <x:c r="G23" s="11"/>
      <x:c r="H23" s="11"/>
      <x:c r="I23" s="11"/>
      <x:c r="J23" s="9"/>
      <x:c r="K23" s="9"/>
      <x:c r="L23" s="9"/>
      <x:c r="M23" s="9"/>
      <x:c r="N23" s="9"/>
      <x:c r="O23" s="9"/>
      <x:c r="P23" s="9"/>
      <x:c r="Q23" s="9"/>
      <x:c r="R23" s="9"/>
      <x:c r="S23" s="13" t="str">
        <x:f>IF(X23="","",IF(X23&lt;&gt;"Ready","Not supplied",J23+K23-SUM(L23:Q23)))</x:f>
      </x:c>
      <x:c r="T23" s="13" t="str">
        <x:f>IF(X23="","",IF(X23&lt;&gt;"Ready","Not supplied",IF(F23=0,"n.a.",E23/F23)))</x:f>
      </x:c>
      <x:c r="U23" s="14" t="str">
        <x:f>IF(X23="","",IF(X23&lt;&gt;"Ready","Not supplied",IF(G23=0,"n.a.",H23/G23)))</x:f>
      </x:c>
      <x:c r="V23" s="13" t="str">
        <x:f>IF(X23="","",IF(X23&lt;&gt;"Ready","Not supplied",IF(I23=0,"n.a.",J23/I23)))</x:f>
      </x:c>
      <x:c r="W23" s="13" t="str">
        <x:f>IF(X23="","",IF(X23&lt;&gt;"Ready","Not supplied",S23-E23))</x:f>
      </x:c>
      <x:c r="X23" s="12" t="str">
        <x:f>IF(A23="","",IF(OR(B23="",C23="",D23&lt;&gt;"Yes",COUNT(E23:Q23)&lt;&gt;13,R23=""),"Missing input",IF(OR(H23&gt;G23,F23&gt;G23,F23+H23&lt;&gt;G23),"Customer counts mismatch",IF(COUNTIFS($A$6:$A$65,A23,$B$6:$B$65,B23,$C$6:$C$65,C23)&gt;1,"Duplicate key","Ready"))))</x:f>
      </x:c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</x:row>
    <x:row r="24" ht="23" customHeight="1">
      <x:c r="A24" s="8"/>
      <x:c r="B24" s="7"/>
      <x:c r="C24" s="7"/>
      <x:c r="D24" s="7"/>
      <x:c r="E24" s="9"/>
      <x:c r="F24" s="11"/>
      <x:c r="G24" s="11"/>
      <x:c r="H24" s="11"/>
      <x:c r="I24" s="11"/>
      <x:c r="J24" s="9"/>
      <x:c r="K24" s="9"/>
      <x:c r="L24" s="9"/>
      <x:c r="M24" s="9"/>
      <x:c r="N24" s="9"/>
      <x:c r="O24" s="9"/>
      <x:c r="P24" s="9"/>
      <x:c r="Q24" s="9"/>
      <x:c r="R24" s="9"/>
      <x:c r="S24" s="13" t="str">
        <x:f>IF(X24="","",IF(X24&lt;&gt;"Ready","Not supplied",J24+K24-SUM(L24:Q24)))</x:f>
      </x:c>
      <x:c r="T24" s="13" t="str">
        <x:f>IF(X24="","",IF(X24&lt;&gt;"Ready","Not supplied",IF(F24=0,"n.a.",E24/F24)))</x:f>
      </x:c>
      <x:c r="U24" s="14" t="str">
        <x:f>IF(X24="","",IF(X24&lt;&gt;"Ready","Not supplied",IF(G24=0,"n.a.",H24/G24)))</x:f>
      </x:c>
      <x:c r="V24" s="13" t="str">
        <x:f>IF(X24="","",IF(X24&lt;&gt;"Ready","Not supplied",IF(I24=0,"n.a.",J24/I24)))</x:f>
      </x:c>
      <x:c r="W24" s="13" t="str">
        <x:f>IF(X24="","",IF(X24&lt;&gt;"Ready","Not supplied",S24-E24))</x:f>
      </x:c>
      <x:c r="X24" s="12" t="str">
        <x:f>IF(A24="","",IF(OR(B24="",C24="",D24&lt;&gt;"Yes",COUNT(E24:Q24)&lt;&gt;13,R24=""),"Missing input",IF(OR(H24&gt;G24,F24&gt;G24,F24+H24&lt;&gt;G24),"Customer counts mismatch",IF(COUNTIFS($A$6:$A$65,A24,$B$6:$B$65,B24,$C$6:$C$65,C24)&gt;1,"Duplicate key","Ready"))))</x:f>
      </x:c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</x:row>
    <x:row r="25" ht="23" customHeight="1">
      <x:c r="A25" s="8"/>
      <x:c r="B25" s="7"/>
      <x:c r="C25" s="7"/>
      <x:c r="D25" s="7"/>
      <x:c r="E25" s="9"/>
      <x:c r="F25" s="11"/>
      <x:c r="G25" s="11"/>
      <x:c r="H25" s="11"/>
      <x:c r="I25" s="11"/>
      <x:c r="J25" s="9"/>
      <x:c r="K25" s="9"/>
      <x:c r="L25" s="9"/>
      <x:c r="M25" s="9"/>
      <x:c r="N25" s="9"/>
      <x:c r="O25" s="9"/>
      <x:c r="P25" s="9"/>
      <x:c r="Q25" s="9"/>
      <x:c r="R25" s="9"/>
      <x:c r="S25" s="13" t="str">
        <x:f>IF(X25="","",IF(X25&lt;&gt;"Ready","Not supplied",J25+K25-SUM(L25:Q25)))</x:f>
      </x:c>
      <x:c r="T25" s="13" t="str">
        <x:f>IF(X25="","",IF(X25&lt;&gt;"Ready","Not supplied",IF(F25=0,"n.a.",E25/F25)))</x:f>
      </x:c>
      <x:c r="U25" s="14" t="str">
        <x:f>IF(X25="","",IF(X25&lt;&gt;"Ready","Not supplied",IF(G25=0,"n.a.",H25/G25)))</x:f>
      </x:c>
      <x:c r="V25" s="13" t="str">
        <x:f>IF(X25="","",IF(X25&lt;&gt;"Ready","Not supplied",IF(I25=0,"n.a.",J25/I25)))</x:f>
      </x:c>
      <x:c r="W25" s="13" t="str">
        <x:f>IF(X25="","",IF(X25&lt;&gt;"Ready","Not supplied",S25-E25))</x:f>
      </x:c>
      <x:c r="X25" s="12" t="str">
        <x:f>IF(A25="","",IF(OR(B25="",C25="",D25&lt;&gt;"Yes",COUNT(E25:Q25)&lt;&gt;13,R25=""),"Missing input",IF(OR(H25&gt;G25,F25&gt;G25,F25+H25&lt;&gt;G25),"Customer counts mismatch",IF(COUNTIFS($A$6:$A$65,A25,$B$6:$B$65,B25,$C$6:$C$65,C25)&gt;1,"Duplicate key","Ready"))))</x:f>
      </x:c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</x:row>
    <x:row r="26" ht="23" customHeight="1">
      <x:c r="A26" s="8"/>
      <x:c r="B26" s="7"/>
      <x:c r="C26" s="7"/>
      <x:c r="D26" s="7"/>
      <x:c r="E26" s="9"/>
      <x:c r="F26" s="11"/>
      <x:c r="G26" s="11"/>
      <x:c r="H26" s="11"/>
      <x:c r="I26" s="11"/>
      <x:c r="J26" s="9"/>
      <x:c r="K26" s="9"/>
      <x:c r="L26" s="9"/>
      <x:c r="M26" s="9"/>
      <x:c r="N26" s="9"/>
      <x:c r="O26" s="9"/>
      <x:c r="P26" s="9"/>
      <x:c r="Q26" s="9"/>
      <x:c r="R26" s="9"/>
      <x:c r="S26" s="13" t="str">
        <x:f>IF(X26="","",IF(X26&lt;&gt;"Ready","Not supplied",J26+K26-SUM(L26:Q26)))</x:f>
      </x:c>
      <x:c r="T26" s="13" t="str">
        <x:f>IF(X26="","",IF(X26&lt;&gt;"Ready","Not supplied",IF(F26=0,"n.a.",E26/F26)))</x:f>
      </x:c>
      <x:c r="U26" s="14" t="str">
        <x:f>IF(X26="","",IF(X26&lt;&gt;"Ready","Not supplied",IF(G26=0,"n.a.",H26/G26)))</x:f>
      </x:c>
      <x:c r="V26" s="13" t="str">
        <x:f>IF(X26="","",IF(X26&lt;&gt;"Ready","Not supplied",IF(I26=0,"n.a.",J26/I26)))</x:f>
      </x:c>
      <x:c r="W26" s="13" t="str">
        <x:f>IF(X26="","",IF(X26&lt;&gt;"Ready","Not supplied",S26-E26))</x:f>
      </x:c>
      <x:c r="X26" s="12" t="str">
        <x:f>IF(A26="","",IF(OR(B26="",C26="",D26&lt;&gt;"Yes",COUNT(E26:Q26)&lt;&gt;13,R26=""),"Missing input",IF(OR(H26&gt;G26,F26&gt;G26,F26+H26&lt;&gt;G26),"Customer counts mismatch",IF(COUNTIFS($A$6:$A$65,A26,$B$6:$B$65,B26,$C$6:$C$65,C26)&gt;1,"Duplicate key","Ready"))))</x:f>
      </x:c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</x:row>
    <x:row r="27" ht="23" customHeight="1">
      <x:c r="A27" s="8"/>
      <x:c r="B27" s="7"/>
      <x:c r="C27" s="7"/>
      <x:c r="D27" s="7"/>
      <x:c r="E27" s="9"/>
      <x:c r="F27" s="11"/>
      <x:c r="G27" s="11"/>
      <x:c r="H27" s="11"/>
      <x:c r="I27" s="11"/>
      <x:c r="J27" s="9"/>
      <x:c r="K27" s="9"/>
      <x:c r="L27" s="9"/>
      <x:c r="M27" s="9"/>
      <x:c r="N27" s="9"/>
      <x:c r="O27" s="9"/>
      <x:c r="P27" s="9"/>
      <x:c r="Q27" s="9"/>
      <x:c r="R27" s="9"/>
      <x:c r="S27" s="13" t="str">
        <x:f>IF(X27="","",IF(X27&lt;&gt;"Ready","Not supplied",J27+K27-SUM(L27:Q27)))</x:f>
      </x:c>
      <x:c r="T27" s="13" t="str">
        <x:f>IF(X27="","",IF(X27&lt;&gt;"Ready","Not supplied",IF(F27=0,"n.a.",E27/F27)))</x:f>
      </x:c>
      <x:c r="U27" s="14" t="str">
        <x:f>IF(X27="","",IF(X27&lt;&gt;"Ready","Not supplied",IF(G27=0,"n.a.",H27/G27)))</x:f>
      </x:c>
      <x:c r="V27" s="13" t="str">
        <x:f>IF(X27="","",IF(X27&lt;&gt;"Ready","Not supplied",IF(I27=0,"n.a.",J27/I27)))</x:f>
      </x:c>
      <x:c r="W27" s="13" t="str">
        <x:f>IF(X27="","",IF(X27&lt;&gt;"Ready","Not supplied",S27-E27))</x:f>
      </x:c>
      <x:c r="X27" s="12" t="str">
        <x:f>IF(A27="","",IF(OR(B27="",C27="",D27&lt;&gt;"Yes",COUNT(E27:Q27)&lt;&gt;13,R27=""),"Missing input",IF(OR(H27&gt;G27,F27&gt;G27,F27+H27&lt;&gt;G27),"Customer counts mismatch",IF(COUNTIFS($A$6:$A$65,A27,$B$6:$B$65,B27,$C$6:$C$65,C27)&gt;1,"Duplicate key","Ready"))))</x:f>
      </x:c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</x:row>
    <x:row r="28" ht="23" customHeight="1">
      <x:c r="A28" s="8"/>
      <x:c r="B28" s="7"/>
      <x:c r="C28" s="7"/>
      <x:c r="D28" s="7"/>
      <x:c r="E28" s="9"/>
      <x:c r="F28" s="11"/>
      <x:c r="G28" s="11"/>
      <x:c r="H28" s="11"/>
      <x:c r="I28" s="11"/>
      <x:c r="J28" s="9"/>
      <x:c r="K28" s="9"/>
      <x:c r="L28" s="9"/>
      <x:c r="M28" s="9"/>
      <x:c r="N28" s="9"/>
      <x:c r="O28" s="9"/>
      <x:c r="P28" s="9"/>
      <x:c r="Q28" s="9"/>
      <x:c r="R28" s="9"/>
      <x:c r="S28" s="13" t="str">
        <x:f>IF(X28="","",IF(X28&lt;&gt;"Ready","Not supplied",J28+K28-SUM(L28:Q28)))</x:f>
      </x:c>
      <x:c r="T28" s="13" t="str">
        <x:f>IF(X28="","",IF(X28&lt;&gt;"Ready","Not supplied",IF(F28=0,"n.a.",E28/F28)))</x:f>
      </x:c>
      <x:c r="U28" s="14" t="str">
        <x:f>IF(X28="","",IF(X28&lt;&gt;"Ready","Not supplied",IF(G28=0,"n.a.",H28/G28)))</x:f>
      </x:c>
      <x:c r="V28" s="13" t="str">
        <x:f>IF(X28="","",IF(X28&lt;&gt;"Ready","Not supplied",IF(I28=0,"n.a.",J28/I28)))</x:f>
      </x:c>
      <x:c r="W28" s="13" t="str">
        <x:f>IF(X28="","",IF(X28&lt;&gt;"Ready","Not supplied",S28-E28))</x:f>
      </x:c>
      <x:c r="X28" s="12" t="str">
        <x:f>IF(A28="","",IF(OR(B28="",C28="",D28&lt;&gt;"Yes",COUNT(E28:Q28)&lt;&gt;13,R28=""),"Missing input",IF(OR(H28&gt;G28,F28&gt;G28,F28+H28&lt;&gt;G28),"Customer counts mismatch",IF(COUNTIFS($A$6:$A$65,A28,$B$6:$B$65,B28,$C$6:$C$65,C28)&gt;1,"Duplicate key","Ready"))))</x:f>
      </x:c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</x:row>
    <x:row r="29" ht="23" customHeight="1">
      <x:c r="A29" s="8"/>
      <x:c r="B29" s="7"/>
      <x:c r="C29" s="7"/>
      <x:c r="D29" s="7"/>
      <x:c r="E29" s="9"/>
      <x:c r="F29" s="11"/>
      <x:c r="G29" s="11"/>
      <x:c r="H29" s="11"/>
      <x:c r="I29" s="11"/>
      <x:c r="J29" s="9"/>
      <x:c r="K29" s="9"/>
      <x:c r="L29" s="9"/>
      <x:c r="M29" s="9"/>
      <x:c r="N29" s="9"/>
      <x:c r="O29" s="9"/>
      <x:c r="P29" s="9"/>
      <x:c r="Q29" s="9"/>
      <x:c r="R29" s="9"/>
      <x:c r="S29" s="13" t="str">
        <x:f>IF(X29="","",IF(X29&lt;&gt;"Ready","Not supplied",J29+K29-SUM(L29:Q29)))</x:f>
      </x:c>
      <x:c r="T29" s="13" t="str">
        <x:f>IF(X29="","",IF(X29&lt;&gt;"Ready","Not supplied",IF(F29=0,"n.a.",E29/F29)))</x:f>
      </x:c>
      <x:c r="U29" s="14" t="str">
        <x:f>IF(X29="","",IF(X29&lt;&gt;"Ready","Not supplied",IF(G29=0,"n.a.",H29/G29)))</x:f>
      </x:c>
      <x:c r="V29" s="13" t="str">
        <x:f>IF(X29="","",IF(X29&lt;&gt;"Ready","Not supplied",IF(I29=0,"n.a.",J29/I29)))</x:f>
      </x:c>
      <x:c r="W29" s="13" t="str">
        <x:f>IF(X29="","",IF(X29&lt;&gt;"Ready","Not supplied",S29-E29))</x:f>
      </x:c>
      <x:c r="X29" s="12" t="str">
        <x:f>IF(A29="","",IF(OR(B29="",C29="",D29&lt;&gt;"Yes",COUNT(E29:Q29)&lt;&gt;13,R29=""),"Missing input",IF(OR(H29&gt;G29,F29&gt;G29,F29+H29&lt;&gt;G29),"Customer counts mismatch",IF(COUNTIFS($A$6:$A$65,A29,$B$6:$B$65,B29,$C$6:$C$65,C29)&gt;1,"Duplicate key","Ready"))))</x:f>
      </x:c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</x:row>
    <x:row r="30" ht="23" customHeight="1">
      <x:c r="A30" s="8"/>
      <x:c r="B30" s="7"/>
      <x:c r="C30" s="7"/>
      <x:c r="D30" s="7"/>
      <x:c r="E30" s="9"/>
      <x:c r="F30" s="11"/>
      <x:c r="G30" s="11"/>
      <x:c r="H30" s="11"/>
      <x:c r="I30" s="11"/>
      <x:c r="J30" s="9"/>
      <x:c r="K30" s="9"/>
      <x:c r="L30" s="9"/>
      <x:c r="M30" s="9"/>
      <x:c r="N30" s="9"/>
      <x:c r="O30" s="9"/>
      <x:c r="P30" s="9"/>
      <x:c r="Q30" s="9"/>
      <x:c r="R30" s="9"/>
      <x:c r="S30" s="13" t="str">
        <x:f>IF(X30="","",IF(X30&lt;&gt;"Ready","Not supplied",J30+K30-SUM(L30:Q30)))</x:f>
      </x:c>
      <x:c r="T30" s="13" t="str">
        <x:f>IF(X30="","",IF(X30&lt;&gt;"Ready","Not supplied",IF(F30=0,"n.a.",E30/F30)))</x:f>
      </x:c>
      <x:c r="U30" s="14" t="str">
        <x:f>IF(X30="","",IF(X30&lt;&gt;"Ready","Not supplied",IF(G30=0,"n.a.",H30/G30)))</x:f>
      </x:c>
      <x:c r="V30" s="13" t="str">
        <x:f>IF(X30="","",IF(X30&lt;&gt;"Ready","Not supplied",IF(I30=0,"n.a.",J30/I30)))</x:f>
      </x:c>
      <x:c r="W30" s="13" t="str">
        <x:f>IF(X30="","",IF(X30&lt;&gt;"Ready","Not supplied",S30-E30))</x:f>
      </x:c>
      <x:c r="X30" s="12" t="str">
        <x:f>IF(A30="","",IF(OR(B30="",C30="",D30&lt;&gt;"Yes",COUNT(E30:Q30)&lt;&gt;13,R30=""),"Missing input",IF(OR(H30&gt;G30,F30&gt;G30,F30+H30&lt;&gt;G30),"Customer counts mismatch",IF(COUNTIFS($A$6:$A$65,A30,$B$6:$B$65,B30,$C$6:$C$65,C30)&gt;1,"Duplicate key","Ready"))))</x:f>
      </x:c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</x:row>
    <x:row r="31" ht="23" customHeight="1">
      <x:c r="A31" s="8"/>
      <x:c r="B31" s="7"/>
      <x:c r="C31" s="7"/>
      <x:c r="D31" s="7"/>
      <x:c r="E31" s="9"/>
      <x:c r="F31" s="11"/>
      <x:c r="G31" s="11"/>
      <x:c r="H31" s="11"/>
      <x:c r="I31" s="11"/>
      <x:c r="J31" s="9"/>
      <x:c r="K31" s="9"/>
      <x:c r="L31" s="9"/>
      <x:c r="M31" s="9"/>
      <x:c r="N31" s="9"/>
      <x:c r="O31" s="9"/>
      <x:c r="P31" s="9"/>
      <x:c r="Q31" s="9"/>
      <x:c r="R31" s="9"/>
      <x:c r="S31" s="13" t="str">
        <x:f>IF(X31="","",IF(X31&lt;&gt;"Ready","Not supplied",J31+K31-SUM(L31:Q31)))</x:f>
      </x:c>
      <x:c r="T31" s="13" t="str">
        <x:f>IF(X31="","",IF(X31&lt;&gt;"Ready","Not supplied",IF(F31=0,"n.a.",E31/F31)))</x:f>
      </x:c>
      <x:c r="U31" s="14" t="str">
        <x:f>IF(X31="","",IF(X31&lt;&gt;"Ready","Not supplied",IF(G31=0,"n.a.",H31/G31)))</x:f>
      </x:c>
      <x:c r="V31" s="13" t="str">
        <x:f>IF(X31="","",IF(X31&lt;&gt;"Ready","Not supplied",IF(I31=0,"n.a.",J31/I31)))</x:f>
      </x:c>
      <x:c r="W31" s="13" t="str">
        <x:f>IF(X31="","",IF(X31&lt;&gt;"Ready","Not supplied",S31-E31))</x:f>
      </x:c>
      <x:c r="X31" s="12" t="str">
        <x:f>IF(A31="","",IF(OR(B31="",C31="",D31&lt;&gt;"Yes",COUNT(E31:Q31)&lt;&gt;13,R31=""),"Missing input",IF(OR(H31&gt;G31,F31&gt;G31,F31+H31&lt;&gt;G31),"Customer counts mismatch",IF(COUNTIFS($A$6:$A$65,A31,$B$6:$B$65,B31,$C$6:$C$65,C31)&gt;1,"Duplicate key","Ready"))))</x:f>
      </x:c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</x:row>
    <x:row r="32" ht="23" customHeight="1">
      <x:c r="A32" s="8"/>
      <x:c r="B32" s="7"/>
      <x:c r="C32" s="7"/>
      <x:c r="D32" s="7"/>
      <x:c r="E32" s="9"/>
      <x:c r="F32" s="11"/>
      <x:c r="G32" s="11"/>
      <x:c r="H32" s="11"/>
      <x:c r="I32" s="11"/>
      <x:c r="J32" s="9"/>
      <x:c r="K32" s="9"/>
      <x:c r="L32" s="9"/>
      <x:c r="M32" s="9"/>
      <x:c r="N32" s="9"/>
      <x:c r="O32" s="9"/>
      <x:c r="P32" s="9"/>
      <x:c r="Q32" s="9"/>
      <x:c r="R32" s="9"/>
      <x:c r="S32" s="13" t="str">
        <x:f>IF(X32="","",IF(X32&lt;&gt;"Ready","Not supplied",J32+K32-SUM(L32:Q32)))</x:f>
      </x:c>
      <x:c r="T32" s="13" t="str">
        <x:f>IF(X32="","",IF(X32&lt;&gt;"Ready","Not supplied",IF(F32=0,"n.a.",E32/F32)))</x:f>
      </x:c>
      <x:c r="U32" s="14" t="str">
        <x:f>IF(X32="","",IF(X32&lt;&gt;"Ready","Not supplied",IF(G32=0,"n.a.",H32/G32)))</x:f>
      </x:c>
      <x:c r="V32" s="13" t="str">
        <x:f>IF(X32="","",IF(X32&lt;&gt;"Ready","Not supplied",IF(I32=0,"n.a.",J32/I32)))</x:f>
      </x:c>
      <x:c r="W32" s="13" t="str">
        <x:f>IF(X32="","",IF(X32&lt;&gt;"Ready","Not supplied",S32-E32))</x:f>
      </x:c>
      <x:c r="X32" s="12" t="str">
        <x:f>IF(A32="","",IF(OR(B32="",C32="",D32&lt;&gt;"Yes",COUNT(E32:Q32)&lt;&gt;13,R32=""),"Missing input",IF(OR(H32&gt;G32,F32&gt;G32,F32+H32&lt;&gt;G32),"Customer counts mismatch",IF(COUNTIFS($A$6:$A$65,A32,$B$6:$B$65,B32,$C$6:$C$65,C32)&gt;1,"Duplicate key","Ready"))))</x:f>
      </x:c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</x:row>
    <x:row r="33" ht="23" customHeight="1">
      <x:c r="A33" s="8"/>
      <x:c r="B33" s="7"/>
      <x:c r="C33" s="7"/>
      <x:c r="D33" s="7"/>
      <x:c r="E33" s="9"/>
      <x:c r="F33" s="11"/>
      <x:c r="G33" s="11"/>
      <x:c r="H33" s="11"/>
      <x:c r="I33" s="11"/>
      <x:c r="J33" s="9"/>
      <x:c r="K33" s="9"/>
      <x:c r="L33" s="9"/>
      <x:c r="M33" s="9"/>
      <x:c r="N33" s="9"/>
      <x:c r="O33" s="9"/>
      <x:c r="P33" s="9"/>
      <x:c r="Q33" s="9"/>
      <x:c r="R33" s="9"/>
      <x:c r="S33" s="13" t="str">
        <x:f>IF(X33="","",IF(X33&lt;&gt;"Ready","Not supplied",J33+K33-SUM(L33:Q33)))</x:f>
      </x:c>
      <x:c r="T33" s="13" t="str">
        <x:f>IF(X33="","",IF(X33&lt;&gt;"Ready","Not supplied",IF(F33=0,"n.a.",E33/F33)))</x:f>
      </x:c>
      <x:c r="U33" s="14" t="str">
        <x:f>IF(X33="","",IF(X33&lt;&gt;"Ready","Not supplied",IF(G33=0,"n.a.",H33/G33)))</x:f>
      </x:c>
      <x:c r="V33" s="13" t="str">
        <x:f>IF(X33="","",IF(X33&lt;&gt;"Ready","Not supplied",IF(I33=0,"n.a.",J33/I33)))</x:f>
      </x:c>
      <x:c r="W33" s="13" t="str">
        <x:f>IF(X33="","",IF(X33&lt;&gt;"Ready","Not supplied",S33-E33))</x:f>
      </x:c>
      <x:c r="X33" s="12" t="str">
        <x:f>IF(A33="","",IF(OR(B33="",C33="",D33&lt;&gt;"Yes",COUNT(E33:Q33)&lt;&gt;13,R33=""),"Missing input",IF(OR(H33&gt;G33,F33&gt;G33,F33+H33&lt;&gt;G33),"Customer counts mismatch",IF(COUNTIFS($A$6:$A$65,A33,$B$6:$B$65,B33,$C$6:$C$65,C33)&gt;1,"Duplicate key","Ready"))))</x:f>
      </x:c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</x:row>
    <x:row r="34" ht="23" customHeight="1">
      <x:c r="A34" s="8"/>
      <x:c r="B34" s="7"/>
      <x:c r="C34" s="7"/>
      <x:c r="D34" s="7"/>
      <x:c r="E34" s="9"/>
      <x:c r="F34" s="11"/>
      <x:c r="G34" s="11"/>
      <x:c r="H34" s="11"/>
      <x:c r="I34" s="11"/>
      <x:c r="J34" s="9"/>
      <x:c r="K34" s="9"/>
      <x:c r="L34" s="9"/>
      <x:c r="M34" s="9"/>
      <x:c r="N34" s="9"/>
      <x:c r="O34" s="9"/>
      <x:c r="P34" s="9"/>
      <x:c r="Q34" s="9"/>
      <x:c r="R34" s="9"/>
      <x:c r="S34" s="13" t="str">
        <x:f>IF(X34="","",IF(X34&lt;&gt;"Ready","Not supplied",J34+K34-SUM(L34:Q34)))</x:f>
      </x:c>
      <x:c r="T34" s="13" t="str">
        <x:f>IF(X34="","",IF(X34&lt;&gt;"Ready","Not supplied",IF(F34=0,"n.a.",E34/F34)))</x:f>
      </x:c>
      <x:c r="U34" s="14" t="str">
        <x:f>IF(X34="","",IF(X34&lt;&gt;"Ready","Not supplied",IF(G34=0,"n.a.",H34/G34)))</x:f>
      </x:c>
      <x:c r="V34" s="13" t="str">
        <x:f>IF(X34="","",IF(X34&lt;&gt;"Ready","Not supplied",IF(I34=0,"n.a.",J34/I34)))</x:f>
      </x:c>
      <x:c r="W34" s="13" t="str">
        <x:f>IF(X34="","",IF(X34&lt;&gt;"Ready","Not supplied",S34-E34))</x:f>
      </x:c>
      <x:c r="X34" s="12" t="str">
        <x:f>IF(A34="","",IF(OR(B34="",C34="",D34&lt;&gt;"Yes",COUNT(E34:Q34)&lt;&gt;13,R34=""),"Missing input",IF(OR(H34&gt;G34,F34&gt;G34,F34+H34&lt;&gt;G34),"Customer counts mismatch",IF(COUNTIFS($A$6:$A$65,A34,$B$6:$B$65,B34,$C$6:$C$65,C34)&gt;1,"Duplicate key","Ready"))))</x:f>
      </x:c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</x:row>
    <x:row r="35" ht="23" customHeight="1">
      <x:c r="A35" s="8"/>
      <x:c r="B35" s="7"/>
      <x:c r="C35" s="7"/>
      <x:c r="D35" s="7"/>
      <x:c r="E35" s="9"/>
      <x:c r="F35" s="11"/>
      <x:c r="G35" s="11"/>
      <x:c r="H35" s="11"/>
      <x:c r="I35" s="11"/>
      <x:c r="J35" s="9"/>
      <x:c r="K35" s="9"/>
      <x:c r="L35" s="9"/>
      <x:c r="M35" s="9"/>
      <x:c r="N35" s="9"/>
      <x:c r="O35" s="9"/>
      <x:c r="P35" s="9"/>
      <x:c r="Q35" s="9"/>
      <x:c r="R35" s="9"/>
      <x:c r="S35" s="13" t="str">
        <x:f>IF(X35="","",IF(X35&lt;&gt;"Ready","Not supplied",J35+K35-SUM(L35:Q35)))</x:f>
      </x:c>
      <x:c r="T35" s="13" t="str">
        <x:f>IF(X35="","",IF(X35&lt;&gt;"Ready","Not supplied",IF(F35=0,"n.a.",E35/F35)))</x:f>
      </x:c>
      <x:c r="U35" s="14" t="str">
        <x:f>IF(X35="","",IF(X35&lt;&gt;"Ready","Not supplied",IF(G35=0,"n.a.",H35/G35)))</x:f>
      </x:c>
      <x:c r="V35" s="13" t="str">
        <x:f>IF(X35="","",IF(X35&lt;&gt;"Ready","Not supplied",IF(I35=0,"n.a.",J35/I35)))</x:f>
      </x:c>
      <x:c r="W35" s="13" t="str">
        <x:f>IF(X35="","",IF(X35&lt;&gt;"Ready","Not supplied",S35-E35))</x:f>
      </x:c>
      <x:c r="X35" s="12" t="str">
        <x:f>IF(A35="","",IF(OR(B35="",C35="",D35&lt;&gt;"Yes",COUNT(E35:Q35)&lt;&gt;13,R35=""),"Missing input",IF(OR(H35&gt;G35,F35&gt;G35,F35+H35&lt;&gt;G35),"Customer counts mismatch",IF(COUNTIFS($A$6:$A$65,A35,$B$6:$B$65,B35,$C$6:$C$65,C35)&gt;1,"Duplicate key","Ready"))))</x:f>
      </x:c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</x:row>
    <x:row r="36" ht="23" customHeight="1">
      <x:c r="A36" s="8"/>
      <x:c r="B36" s="7"/>
      <x:c r="C36" s="7"/>
      <x:c r="D36" s="7"/>
      <x:c r="E36" s="9"/>
      <x:c r="F36" s="11"/>
      <x:c r="G36" s="11"/>
      <x:c r="H36" s="11"/>
      <x:c r="I36" s="11"/>
      <x:c r="J36" s="9"/>
      <x:c r="K36" s="9"/>
      <x:c r="L36" s="9"/>
      <x:c r="M36" s="9"/>
      <x:c r="N36" s="9"/>
      <x:c r="O36" s="9"/>
      <x:c r="P36" s="9"/>
      <x:c r="Q36" s="9"/>
      <x:c r="R36" s="9"/>
      <x:c r="S36" s="13" t="str">
        <x:f>IF(X36="","",IF(X36&lt;&gt;"Ready","Not supplied",J36+K36-SUM(L36:Q36)))</x:f>
      </x:c>
      <x:c r="T36" s="13" t="str">
        <x:f>IF(X36="","",IF(X36&lt;&gt;"Ready","Not supplied",IF(F36=0,"n.a.",E36/F36)))</x:f>
      </x:c>
      <x:c r="U36" s="14" t="str">
        <x:f>IF(X36="","",IF(X36&lt;&gt;"Ready","Not supplied",IF(G36=0,"n.a.",H36/G36)))</x:f>
      </x:c>
      <x:c r="V36" s="13" t="str">
        <x:f>IF(X36="","",IF(X36&lt;&gt;"Ready","Not supplied",IF(I36=0,"n.a.",J36/I36)))</x:f>
      </x:c>
      <x:c r="W36" s="13" t="str">
        <x:f>IF(X36="","",IF(X36&lt;&gt;"Ready","Not supplied",S36-E36))</x:f>
      </x:c>
      <x:c r="X36" s="12" t="str">
        <x:f>IF(A36="","",IF(OR(B36="",C36="",D36&lt;&gt;"Yes",COUNT(E36:Q36)&lt;&gt;13,R36=""),"Missing input",IF(OR(H36&gt;G36,F36&gt;G36,F36+H36&lt;&gt;G36),"Customer counts mismatch",IF(COUNTIFS($A$6:$A$65,A36,$B$6:$B$65,B36,$C$6:$C$65,C36)&gt;1,"Duplicate key","Ready"))))</x:f>
      </x:c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</x:row>
    <x:row r="37" ht="23" customHeight="1">
      <x:c r="A37" s="8"/>
      <x:c r="B37" s="7"/>
      <x:c r="C37" s="7"/>
      <x:c r="D37" s="7"/>
      <x:c r="E37" s="9"/>
      <x:c r="F37" s="11"/>
      <x:c r="G37" s="11"/>
      <x:c r="H37" s="11"/>
      <x:c r="I37" s="11"/>
      <x:c r="J37" s="9"/>
      <x:c r="K37" s="9"/>
      <x:c r="L37" s="9"/>
      <x:c r="M37" s="9"/>
      <x:c r="N37" s="9"/>
      <x:c r="O37" s="9"/>
      <x:c r="P37" s="9"/>
      <x:c r="Q37" s="9"/>
      <x:c r="R37" s="9"/>
      <x:c r="S37" s="13" t="str">
        <x:f>IF(X37="","",IF(X37&lt;&gt;"Ready","Not supplied",J37+K37-SUM(L37:Q37)))</x:f>
      </x:c>
      <x:c r="T37" s="13" t="str">
        <x:f>IF(X37="","",IF(X37&lt;&gt;"Ready","Not supplied",IF(F37=0,"n.a.",E37/F37)))</x:f>
      </x:c>
      <x:c r="U37" s="14" t="str">
        <x:f>IF(X37="","",IF(X37&lt;&gt;"Ready","Not supplied",IF(G37=0,"n.a.",H37/G37)))</x:f>
      </x:c>
      <x:c r="V37" s="13" t="str">
        <x:f>IF(X37="","",IF(X37&lt;&gt;"Ready","Not supplied",IF(I37=0,"n.a.",J37/I37)))</x:f>
      </x:c>
      <x:c r="W37" s="13" t="str">
        <x:f>IF(X37="","",IF(X37&lt;&gt;"Ready","Not supplied",S37-E37))</x:f>
      </x:c>
      <x:c r="X37" s="12" t="str">
        <x:f>IF(A37="","",IF(OR(B37="",C37="",D37&lt;&gt;"Yes",COUNT(E37:Q37)&lt;&gt;13,R37=""),"Missing input",IF(OR(H37&gt;G37,F37&gt;G37,F37+H37&lt;&gt;G37),"Customer counts mismatch",IF(COUNTIFS($A$6:$A$65,A37,$B$6:$B$65,B37,$C$6:$C$65,C37)&gt;1,"Duplicate key","Ready"))))</x:f>
      </x:c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</x:row>
    <x:row r="38" ht="23" customHeight="1">
      <x:c r="A38" s="8"/>
      <x:c r="B38" s="7"/>
      <x:c r="C38" s="7"/>
      <x:c r="D38" s="7"/>
      <x:c r="E38" s="9"/>
      <x:c r="F38" s="11"/>
      <x:c r="G38" s="11"/>
      <x:c r="H38" s="11"/>
      <x:c r="I38" s="11"/>
      <x:c r="J38" s="9"/>
      <x:c r="K38" s="9"/>
      <x:c r="L38" s="9"/>
      <x:c r="M38" s="9"/>
      <x:c r="N38" s="9"/>
      <x:c r="O38" s="9"/>
      <x:c r="P38" s="9"/>
      <x:c r="Q38" s="9"/>
      <x:c r="R38" s="9"/>
      <x:c r="S38" s="13" t="str">
        <x:f>IF(X38="","",IF(X38&lt;&gt;"Ready","Not supplied",J38+K38-SUM(L38:Q38)))</x:f>
      </x:c>
      <x:c r="T38" s="13" t="str">
        <x:f>IF(X38="","",IF(X38&lt;&gt;"Ready","Not supplied",IF(F38=0,"n.a.",E38/F38)))</x:f>
      </x:c>
      <x:c r="U38" s="14" t="str">
        <x:f>IF(X38="","",IF(X38&lt;&gt;"Ready","Not supplied",IF(G38=0,"n.a.",H38/G38)))</x:f>
      </x:c>
      <x:c r="V38" s="13" t="str">
        <x:f>IF(X38="","",IF(X38&lt;&gt;"Ready","Not supplied",IF(I38=0,"n.a.",J38/I38)))</x:f>
      </x:c>
      <x:c r="W38" s="13" t="str">
        <x:f>IF(X38="","",IF(X38&lt;&gt;"Ready","Not supplied",S38-E38))</x:f>
      </x:c>
      <x:c r="X38" s="12" t="str">
        <x:f>IF(A38="","",IF(OR(B38="",C38="",D38&lt;&gt;"Yes",COUNT(E38:Q38)&lt;&gt;13,R38=""),"Missing input",IF(OR(H38&gt;G38,F38&gt;G38,F38+H38&lt;&gt;G38),"Customer counts mismatch",IF(COUNTIFS($A$6:$A$65,A38,$B$6:$B$65,B38,$C$6:$C$65,C38)&gt;1,"Duplicate key","Ready"))))</x:f>
      </x:c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</x:row>
    <x:row r="39" ht="23" customHeight="1">
      <x:c r="A39" s="8"/>
      <x:c r="B39" s="7"/>
      <x:c r="C39" s="7"/>
      <x:c r="D39" s="7"/>
      <x:c r="E39" s="9"/>
      <x:c r="F39" s="11"/>
      <x:c r="G39" s="11"/>
      <x:c r="H39" s="11"/>
      <x:c r="I39" s="11"/>
      <x:c r="J39" s="9"/>
      <x:c r="K39" s="9"/>
      <x:c r="L39" s="9"/>
      <x:c r="M39" s="9"/>
      <x:c r="N39" s="9"/>
      <x:c r="O39" s="9"/>
      <x:c r="P39" s="9"/>
      <x:c r="Q39" s="9"/>
      <x:c r="R39" s="9"/>
      <x:c r="S39" s="13" t="str">
        <x:f>IF(X39="","",IF(X39&lt;&gt;"Ready","Not supplied",J39+K39-SUM(L39:Q39)))</x:f>
      </x:c>
      <x:c r="T39" s="13" t="str">
        <x:f>IF(X39="","",IF(X39&lt;&gt;"Ready","Not supplied",IF(F39=0,"n.a.",E39/F39)))</x:f>
      </x:c>
      <x:c r="U39" s="14" t="str">
        <x:f>IF(X39="","",IF(X39&lt;&gt;"Ready","Not supplied",IF(G39=0,"n.a.",H39/G39)))</x:f>
      </x:c>
      <x:c r="V39" s="13" t="str">
        <x:f>IF(X39="","",IF(X39&lt;&gt;"Ready","Not supplied",IF(I39=0,"n.a.",J39/I39)))</x:f>
      </x:c>
      <x:c r="W39" s="13" t="str">
        <x:f>IF(X39="","",IF(X39&lt;&gt;"Ready","Not supplied",S39-E39))</x:f>
      </x:c>
      <x:c r="X39" s="12" t="str">
        <x:f>IF(A39="","",IF(OR(B39="",C39="",D39&lt;&gt;"Yes",COUNT(E39:Q39)&lt;&gt;13,R39=""),"Missing input",IF(OR(H39&gt;G39,F39&gt;G39,F39+H39&lt;&gt;G39),"Customer counts mismatch",IF(COUNTIFS($A$6:$A$65,A39,$B$6:$B$65,B39,$C$6:$C$65,C39)&gt;1,"Duplicate key","Ready"))))</x:f>
      </x:c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</x:row>
    <x:row r="40" ht="23" customHeight="1">
      <x:c r="A40" s="8"/>
      <x:c r="B40" s="7"/>
      <x:c r="C40" s="7"/>
      <x:c r="D40" s="7"/>
      <x:c r="E40" s="9"/>
      <x:c r="F40" s="11"/>
      <x:c r="G40" s="11"/>
      <x:c r="H40" s="11"/>
      <x:c r="I40" s="11"/>
      <x:c r="J40" s="9"/>
      <x:c r="K40" s="9"/>
      <x:c r="L40" s="9"/>
      <x:c r="M40" s="9"/>
      <x:c r="N40" s="9"/>
      <x:c r="O40" s="9"/>
      <x:c r="P40" s="9"/>
      <x:c r="Q40" s="9"/>
      <x:c r="R40" s="9"/>
      <x:c r="S40" s="13" t="str">
        <x:f>IF(X40="","",IF(X40&lt;&gt;"Ready","Not supplied",J40+K40-SUM(L40:Q40)))</x:f>
      </x:c>
      <x:c r="T40" s="13" t="str">
        <x:f>IF(X40="","",IF(X40&lt;&gt;"Ready","Not supplied",IF(F40=0,"n.a.",E40/F40)))</x:f>
      </x:c>
      <x:c r="U40" s="14" t="str">
        <x:f>IF(X40="","",IF(X40&lt;&gt;"Ready","Not supplied",IF(G40=0,"n.a.",H40/G40)))</x:f>
      </x:c>
      <x:c r="V40" s="13" t="str">
        <x:f>IF(X40="","",IF(X40&lt;&gt;"Ready","Not supplied",IF(I40=0,"n.a.",J40/I40)))</x:f>
      </x:c>
      <x:c r="W40" s="13" t="str">
        <x:f>IF(X40="","",IF(X40&lt;&gt;"Ready","Not supplied",S40-E40))</x:f>
      </x:c>
      <x:c r="X40" s="12" t="str">
        <x:f>IF(A40="","",IF(OR(B40="",C40="",D40&lt;&gt;"Yes",COUNT(E40:Q40)&lt;&gt;13,R40=""),"Missing input",IF(OR(H40&gt;G40,F40&gt;G40,F40+H40&lt;&gt;G40),"Customer counts mismatch",IF(COUNTIFS($A$6:$A$65,A40,$B$6:$B$65,B40,$C$6:$C$65,C40)&gt;1,"Duplicate key","Ready"))))</x:f>
      </x:c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</x:row>
    <x:row r="41" ht="23" customHeight="1">
      <x:c r="A41" s="8"/>
      <x:c r="B41" s="7"/>
      <x:c r="C41" s="7"/>
      <x:c r="D41" s="7"/>
      <x:c r="E41" s="9"/>
      <x:c r="F41" s="11"/>
      <x:c r="G41" s="11"/>
      <x:c r="H41" s="11"/>
      <x:c r="I41" s="11"/>
      <x:c r="J41" s="9"/>
      <x:c r="K41" s="9"/>
      <x:c r="L41" s="9"/>
      <x:c r="M41" s="9"/>
      <x:c r="N41" s="9"/>
      <x:c r="O41" s="9"/>
      <x:c r="P41" s="9"/>
      <x:c r="Q41" s="9"/>
      <x:c r="R41" s="9"/>
      <x:c r="S41" s="13" t="str">
        <x:f>IF(X41="","",IF(X41&lt;&gt;"Ready","Not supplied",J41+K41-SUM(L41:Q41)))</x:f>
      </x:c>
      <x:c r="T41" s="13" t="str">
        <x:f>IF(X41="","",IF(X41&lt;&gt;"Ready","Not supplied",IF(F41=0,"n.a.",E41/F41)))</x:f>
      </x:c>
      <x:c r="U41" s="14" t="str">
        <x:f>IF(X41="","",IF(X41&lt;&gt;"Ready","Not supplied",IF(G41=0,"n.a.",H41/G41)))</x:f>
      </x:c>
      <x:c r="V41" s="13" t="str">
        <x:f>IF(X41="","",IF(X41&lt;&gt;"Ready","Not supplied",IF(I41=0,"n.a.",J41/I41)))</x:f>
      </x:c>
      <x:c r="W41" s="13" t="str">
        <x:f>IF(X41="","",IF(X41&lt;&gt;"Ready","Not supplied",S41-E41))</x:f>
      </x:c>
      <x:c r="X41" s="12" t="str">
        <x:f>IF(A41="","",IF(OR(B41="",C41="",D41&lt;&gt;"Yes",COUNT(E41:Q41)&lt;&gt;13,R41=""),"Missing input",IF(OR(H41&gt;G41,F41&gt;G41,F41+H41&lt;&gt;G41),"Customer counts mismatch",IF(COUNTIFS($A$6:$A$65,A41,$B$6:$B$65,B41,$C$6:$C$65,C41)&gt;1,"Duplicate key","Ready"))))</x:f>
      </x:c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</x:row>
    <x:row r="42" ht="23" customHeight="1">
      <x:c r="A42" s="8"/>
      <x:c r="B42" s="7"/>
      <x:c r="C42" s="7"/>
      <x:c r="D42" s="7"/>
      <x:c r="E42" s="9"/>
      <x:c r="F42" s="11"/>
      <x:c r="G42" s="11"/>
      <x:c r="H42" s="11"/>
      <x:c r="I42" s="11"/>
      <x:c r="J42" s="9"/>
      <x:c r="K42" s="9"/>
      <x:c r="L42" s="9"/>
      <x:c r="M42" s="9"/>
      <x:c r="N42" s="9"/>
      <x:c r="O42" s="9"/>
      <x:c r="P42" s="9"/>
      <x:c r="Q42" s="9"/>
      <x:c r="R42" s="9"/>
      <x:c r="S42" s="13" t="str">
        <x:f>IF(X42="","",IF(X42&lt;&gt;"Ready","Not supplied",J42+K42-SUM(L42:Q42)))</x:f>
      </x:c>
      <x:c r="T42" s="13" t="str">
        <x:f>IF(X42="","",IF(X42&lt;&gt;"Ready","Not supplied",IF(F42=0,"n.a.",E42/F42)))</x:f>
      </x:c>
      <x:c r="U42" s="14" t="str">
        <x:f>IF(X42="","",IF(X42&lt;&gt;"Ready","Not supplied",IF(G42=0,"n.a.",H42/G42)))</x:f>
      </x:c>
      <x:c r="V42" s="13" t="str">
        <x:f>IF(X42="","",IF(X42&lt;&gt;"Ready","Not supplied",IF(I42=0,"n.a.",J42/I42)))</x:f>
      </x:c>
      <x:c r="W42" s="13" t="str">
        <x:f>IF(X42="","",IF(X42&lt;&gt;"Ready","Not supplied",S42-E42))</x:f>
      </x:c>
      <x:c r="X42" s="12" t="str">
        <x:f>IF(A42="","",IF(OR(B42="",C42="",D42&lt;&gt;"Yes",COUNT(E42:Q42)&lt;&gt;13,R42=""),"Missing input",IF(OR(H42&gt;G42,F42&gt;G42,F42+H42&lt;&gt;G42),"Customer counts mismatch",IF(COUNTIFS($A$6:$A$65,A42,$B$6:$B$65,B42,$C$6:$C$65,C42)&gt;1,"Duplicate key","Ready"))))</x:f>
      </x:c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</x:row>
    <x:row r="43" ht="23" customHeight="1">
      <x:c r="A43" s="8"/>
      <x:c r="B43" s="7"/>
      <x:c r="C43" s="7"/>
      <x:c r="D43" s="7"/>
      <x:c r="E43" s="9"/>
      <x:c r="F43" s="11"/>
      <x:c r="G43" s="11"/>
      <x:c r="H43" s="11"/>
      <x:c r="I43" s="11"/>
      <x:c r="J43" s="9"/>
      <x:c r="K43" s="9"/>
      <x:c r="L43" s="9"/>
      <x:c r="M43" s="9"/>
      <x:c r="N43" s="9"/>
      <x:c r="O43" s="9"/>
      <x:c r="P43" s="9"/>
      <x:c r="Q43" s="9"/>
      <x:c r="R43" s="9"/>
      <x:c r="S43" s="13" t="str">
        <x:f>IF(X43="","",IF(X43&lt;&gt;"Ready","Not supplied",J43+K43-SUM(L43:Q43)))</x:f>
      </x:c>
      <x:c r="T43" s="13" t="str">
        <x:f>IF(X43="","",IF(X43&lt;&gt;"Ready","Not supplied",IF(F43=0,"n.a.",E43/F43)))</x:f>
      </x:c>
      <x:c r="U43" s="14" t="str">
        <x:f>IF(X43="","",IF(X43&lt;&gt;"Ready","Not supplied",IF(G43=0,"n.a.",H43/G43)))</x:f>
      </x:c>
      <x:c r="V43" s="13" t="str">
        <x:f>IF(X43="","",IF(X43&lt;&gt;"Ready","Not supplied",IF(I43=0,"n.a.",J43/I43)))</x:f>
      </x:c>
      <x:c r="W43" s="13" t="str">
        <x:f>IF(X43="","",IF(X43&lt;&gt;"Ready","Not supplied",S43-E43))</x:f>
      </x:c>
      <x:c r="X43" s="12" t="str">
        <x:f>IF(A43="","",IF(OR(B43="",C43="",D43&lt;&gt;"Yes",COUNT(E43:Q43)&lt;&gt;13,R43=""),"Missing input",IF(OR(H43&gt;G43,F43&gt;G43,F43+H43&lt;&gt;G43),"Customer counts mismatch",IF(COUNTIFS($A$6:$A$65,A43,$B$6:$B$65,B43,$C$6:$C$65,C43)&gt;1,"Duplicate key","Ready"))))</x:f>
      </x:c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</x:row>
    <x:row r="44" ht="23" customHeight="1">
      <x:c r="A44" s="8"/>
      <x:c r="B44" s="7"/>
      <x:c r="C44" s="7"/>
      <x:c r="D44" s="7"/>
      <x:c r="E44" s="9"/>
      <x:c r="F44" s="11"/>
      <x:c r="G44" s="11"/>
      <x:c r="H44" s="11"/>
      <x:c r="I44" s="11"/>
      <x:c r="J44" s="9"/>
      <x:c r="K44" s="9"/>
      <x:c r="L44" s="9"/>
      <x:c r="M44" s="9"/>
      <x:c r="N44" s="9"/>
      <x:c r="O44" s="9"/>
      <x:c r="P44" s="9"/>
      <x:c r="Q44" s="9"/>
      <x:c r="R44" s="9"/>
      <x:c r="S44" s="13" t="str">
        <x:f>IF(X44="","",IF(X44&lt;&gt;"Ready","Not supplied",J44+K44-SUM(L44:Q44)))</x:f>
      </x:c>
      <x:c r="T44" s="13" t="str">
        <x:f>IF(X44="","",IF(X44&lt;&gt;"Ready","Not supplied",IF(F44=0,"n.a.",E44/F44)))</x:f>
      </x:c>
      <x:c r="U44" s="14" t="str">
        <x:f>IF(X44="","",IF(X44&lt;&gt;"Ready","Not supplied",IF(G44=0,"n.a.",H44/G44)))</x:f>
      </x:c>
      <x:c r="V44" s="13" t="str">
        <x:f>IF(X44="","",IF(X44&lt;&gt;"Ready","Not supplied",IF(I44=0,"n.a.",J44/I44)))</x:f>
      </x:c>
      <x:c r="W44" s="13" t="str">
        <x:f>IF(X44="","",IF(X44&lt;&gt;"Ready","Not supplied",S44-E44))</x:f>
      </x:c>
      <x:c r="X44" s="12" t="str">
        <x:f>IF(A44="","",IF(OR(B44="",C44="",D44&lt;&gt;"Yes",COUNT(E44:Q44)&lt;&gt;13,R44=""),"Missing input",IF(OR(H44&gt;G44,F44&gt;G44,F44+H44&lt;&gt;G44),"Customer counts mismatch",IF(COUNTIFS($A$6:$A$65,A44,$B$6:$B$65,B44,$C$6:$C$65,C44)&gt;1,"Duplicate key","Ready"))))</x:f>
      </x:c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</x:row>
    <x:row r="45" ht="23" customHeight="1">
      <x:c r="A45" s="8"/>
      <x:c r="B45" s="7"/>
      <x:c r="C45" s="7"/>
      <x:c r="D45" s="7"/>
      <x:c r="E45" s="9"/>
      <x:c r="F45" s="11"/>
      <x:c r="G45" s="11"/>
      <x:c r="H45" s="11"/>
      <x:c r="I45" s="11"/>
      <x:c r="J45" s="9"/>
      <x:c r="K45" s="9"/>
      <x:c r="L45" s="9"/>
      <x:c r="M45" s="9"/>
      <x:c r="N45" s="9"/>
      <x:c r="O45" s="9"/>
      <x:c r="P45" s="9"/>
      <x:c r="Q45" s="9"/>
      <x:c r="R45" s="9"/>
      <x:c r="S45" s="13" t="str">
        <x:f>IF(X45="","",IF(X45&lt;&gt;"Ready","Not supplied",J45+K45-SUM(L45:Q45)))</x:f>
      </x:c>
      <x:c r="T45" s="13" t="str">
        <x:f>IF(X45="","",IF(X45&lt;&gt;"Ready","Not supplied",IF(F45=0,"n.a.",E45/F45)))</x:f>
      </x:c>
      <x:c r="U45" s="14" t="str">
        <x:f>IF(X45="","",IF(X45&lt;&gt;"Ready","Not supplied",IF(G45=0,"n.a.",H45/G45)))</x:f>
      </x:c>
      <x:c r="V45" s="13" t="str">
        <x:f>IF(X45="","",IF(X45&lt;&gt;"Ready","Not supplied",IF(I45=0,"n.a.",J45/I45)))</x:f>
      </x:c>
      <x:c r="W45" s="13" t="str">
        <x:f>IF(X45="","",IF(X45&lt;&gt;"Ready","Not supplied",S45-E45))</x:f>
      </x:c>
      <x:c r="X45" s="12" t="str">
        <x:f>IF(A45="","",IF(OR(B45="",C45="",D45&lt;&gt;"Yes",COUNT(E45:Q45)&lt;&gt;13,R45=""),"Missing input",IF(OR(H45&gt;G45,F45&gt;G45,F45+H45&lt;&gt;G45),"Customer counts mismatch",IF(COUNTIFS($A$6:$A$65,A45,$B$6:$B$65,B45,$C$6:$C$65,C45)&gt;1,"Duplicate key","Ready"))))</x:f>
      </x:c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</x:row>
    <x:row r="46" ht="23" customHeight="1">
      <x:c r="A46" s="8"/>
      <x:c r="B46" s="7"/>
      <x:c r="C46" s="7"/>
      <x:c r="D46" s="7"/>
      <x:c r="E46" s="9"/>
      <x:c r="F46" s="11"/>
      <x:c r="G46" s="11"/>
      <x:c r="H46" s="11"/>
      <x:c r="I46" s="11"/>
      <x:c r="J46" s="9"/>
      <x:c r="K46" s="9"/>
      <x:c r="L46" s="9"/>
      <x:c r="M46" s="9"/>
      <x:c r="N46" s="9"/>
      <x:c r="O46" s="9"/>
      <x:c r="P46" s="9"/>
      <x:c r="Q46" s="9"/>
      <x:c r="R46" s="9"/>
      <x:c r="S46" s="13" t="str">
        <x:f>IF(X46="","",IF(X46&lt;&gt;"Ready","Not supplied",J46+K46-SUM(L46:Q46)))</x:f>
      </x:c>
      <x:c r="T46" s="13" t="str">
        <x:f>IF(X46="","",IF(X46&lt;&gt;"Ready","Not supplied",IF(F46=0,"n.a.",E46/F46)))</x:f>
      </x:c>
      <x:c r="U46" s="14" t="str">
        <x:f>IF(X46="","",IF(X46&lt;&gt;"Ready","Not supplied",IF(G46=0,"n.a.",H46/G46)))</x:f>
      </x:c>
      <x:c r="V46" s="13" t="str">
        <x:f>IF(X46="","",IF(X46&lt;&gt;"Ready","Not supplied",IF(I46=0,"n.a.",J46/I46)))</x:f>
      </x:c>
      <x:c r="W46" s="13" t="str">
        <x:f>IF(X46="","",IF(X46&lt;&gt;"Ready","Not supplied",S46-E46))</x:f>
      </x:c>
      <x:c r="X46" s="12" t="str">
        <x:f>IF(A46="","",IF(OR(B46="",C46="",D46&lt;&gt;"Yes",COUNT(E46:Q46)&lt;&gt;13,R46=""),"Missing input",IF(OR(H46&gt;G46,F46&gt;G46,F46+H46&lt;&gt;G46),"Customer counts mismatch",IF(COUNTIFS($A$6:$A$65,A46,$B$6:$B$65,B46,$C$6:$C$65,C46)&gt;1,"Duplicate key","Ready"))))</x:f>
      </x:c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</x:row>
    <x:row r="47" ht="23" customHeight="1">
      <x:c r="A47" s="8"/>
      <x:c r="B47" s="7"/>
      <x:c r="C47" s="7"/>
      <x:c r="D47" s="7"/>
      <x:c r="E47" s="9"/>
      <x:c r="F47" s="11"/>
      <x:c r="G47" s="11"/>
      <x:c r="H47" s="11"/>
      <x:c r="I47" s="11"/>
      <x:c r="J47" s="9"/>
      <x:c r="K47" s="9"/>
      <x:c r="L47" s="9"/>
      <x:c r="M47" s="9"/>
      <x:c r="N47" s="9"/>
      <x:c r="O47" s="9"/>
      <x:c r="P47" s="9"/>
      <x:c r="Q47" s="9"/>
      <x:c r="R47" s="9"/>
      <x:c r="S47" s="13" t="str">
        <x:f>IF(X47="","",IF(X47&lt;&gt;"Ready","Not supplied",J47+K47-SUM(L47:Q47)))</x:f>
      </x:c>
      <x:c r="T47" s="13" t="str">
        <x:f>IF(X47="","",IF(X47&lt;&gt;"Ready","Not supplied",IF(F47=0,"n.a.",E47/F47)))</x:f>
      </x:c>
      <x:c r="U47" s="14" t="str">
        <x:f>IF(X47="","",IF(X47&lt;&gt;"Ready","Not supplied",IF(G47=0,"n.a.",H47/G47)))</x:f>
      </x:c>
      <x:c r="V47" s="13" t="str">
        <x:f>IF(X47="","",IF(X47&lt;&gt;"Ready","Not supplied",IF(I47=0,"n.a.",J47/I47)))</x:f>
      </x:c>
      <x:c r="W47" s="13" t="str">
        <x:f>IF(X47="","",IF(X47&lt;&gt;"Ready","Not supplied",S47-E47))</x:f>
      </x:c>
      <x:c r="X47" s="12" t="str">
        <x:f>IF(A47="","",IF(OR(B47="",C47="",D47&lt;&gt;"Yes",COUNT(E47:Q47)&lt;&gt;13,R47=""),"Missing input",IF(OR(H47&gt;G47,F47&gt;G47,F47+H47&lt;&gt;G47),"Customer counts mismatch",IF(COUNTIFS($A$6:$A$65,A47,$B$6:$B$65,B47,$C$6:$C$65,C47)&gt;1,"Duplicate key","Ready"))))</x:f>
      </x:c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</x:row>
    <x:row r="48" ht="23" customHeight="1">
      <x:c r="A48" s="8"/>
      <x:c r="B48" s="7"/>
      <x:c r="C48" s="7"/>
      <x:c r="D48" s="7"/>
      <x:c r="E48" s="9"/>
      <x:c r="F48" s="11"/>
      <x:c r="G48" s="11"/>
      <x:c r="H48" s="11"/>
      <x:c r="I48" s="11"/>
      <x:c r="J48" s="9"/>
      <x:c r="K48" s="9"/>
      <x:c r="L48" s="9"/>
      <x:c r="M48" s="9"/>
      <x:c r="N48" s="9"/>
      <x:c r="O48" s="9"/>
      <x:c r="P48" s="9"/>
      <x:c r="Q48" s="9"/>
      <x:c r="R48" s="9"/>
      <x:c r="S48" s="13" t="str">
        <x:f>IF(X48="","",IF(X48&lt;&gt;"Ready","Not supplied",J48+K48-SUM(L48:Q48)))</x:f>
      </x:c>
      <x:c r="T48" s="13" t="str">
        <x:f>IF(X48="","",IF(X48&lt;&gt;"Ready","Not supplied",IF(F48=0,"n.a.",E48/F48)))</x:f>
      </x:c>
      <x:c r="U48" s="14" t="str">
        <x:f>IF(X48="","",IF(X48&lt;&gt;"Ready","Not supplied",IF(G48=0,"n.a.",H48/G48)))</x:f>
      </x:c>
      <x:c r="V48" s="13" t="str">
        <x:f>IF(X48="","",IF(X48&lt;&gt;"Ready","Not supplied",IF(I48=0,"n.a.",J48/I48)))</x:f>
      </x:c>
      <x:c r="W48" s="13" t="str">
        <x:f>IF(X48="","",IF(X48&lt;&gt;"Ready","Not supplied",S48-E48))</x:f>
      </x:c>
      <x:c r="X48" s="12" t="str">
        <x:f>IF(A48="","",IF(OR(B48="",C48="",D48&lt;&gt;"Yes",COUNT(E48:Q48)&lt;&gt;13,R48=""),"Missing input",IF(OR(H48&gt;G48,F48&gt;G48,F48+H48&lt;&gt;G48),"Customer counts mismatch",IF(COUNTIFS($A$6:$A$65,A48,$B$6:$B$65,B48,$C$6:$C$65,C48)&gt;1,"Duplicate key","Ready"))))</x:f>
      </x:c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</x:row>
    <x:row r="49" ht="23" customHeight="1">
      <x:c r="A49" s="8"/>
      <x:c r="B49" s="7"/>
      <x:c r="C49" s="7"/>
      <x:c r="D49" s="7"/>
      <x:c r="E49" s="9"/>
      <x:c r="F49" s="11"/>
      <x:c r="G49" s="11"/>
      <x:c r="H49" s="11"/>
      <x:c r="I49" s="11"/>
      <x:c r="J49" s="9"/>
      <x:c r="K49" s="9"/>
      <x:c r="L49" s="9"/>
      <x:c r="M49" s="9"/>
      <x:c r="N49" s="9"/>
      <x:c r="O49" s="9"/>
      <x:c r="P49" s="9"/>
      <x:c r="Q49" s="9"/>
      <x:c r="R49" s="9"/>
      <x:c r="S49" s="13" t="str">
        <x:f>IF(X49="","",IF(X49&lt;&gt;"Ready","Not supplied",J49+K49-SUM(L49:Q49)))</x:f>
      </x:c>
      <x:c r="T49" s="13" t="str">
        <x:f>IF(X49="","",IF(X49&lt;&gt;"Ready","Not supplied",IF(F49=0,"n.a.",E49/F49)))</x:f>
      </x:c>
      <x:c r="U49" s="14" t="str">
        <x:f>IF(X49="","",IF(X49&lt;&gt;"Ready","Not supplied",IF(G49=0,"n.a.",H49/G49)))</x:f>
      </x:c>
      <x:c r="V49" s="13" t="str">
        <x:f>IF(X49="","",IF(X49&lt;&gt;"Ready","Not supplied",IF(I49=0,"n.a.",J49/I49)))</x:f>
      </x:c>
      <x:c r="W49" s="13" t="str">
        <x:f>IF(X49="","",IF(X49&lt;&gt;"Ready","Not supplied",S49-E49))</x:f>
      </x:c>
      <x:c r="X49" s="12" t="str">
        <x:f>IF(A49="","",IF(OR(B49="",C49="",D49&lt;&gt;"Yes",COUNT(E49:Q49)&lt;&gt;13,R49=""),"Missing input",IF(OR(H49&gt;G49,F49&gt;G49,F49+H49&lt;&gt;G49),"Customer counts mismatch",IF(COUNTIFS($A$6:$A$65,A49,$B$6:$B$65,B49,$C$6:$C$65,C49)&gt;1,"Duplicate key","Ready"))))</x:f>
      </x:c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</x:row>
    <x:row r="50" ht="23" customHeight="1">
      <x:c r="A50" s="8"/>
      <x:c r="B50" s="7"/>
      <x:c r="C50" s="7"/>
      <x:c r="D50" s="7"/>
      <x:c r="E50" s="9"/>
      <x:c r="F50" s="11"/>
      <x:c r="G50" s="11"/>
      <x:c r="H50" s="11"/>
      <x:c r="I50" s="11"/>
      <x:c r="J50" s="9"/>
      <x:c r="K50" s="9"/>
      <x:c r="L50" s="9"/>
      <x:c r="M50" s="9"/>
      <x:c r="N50" s="9"/>
      <x:c r="O50" s="9"/>
      <x:c r="P50" s="9"/>
      <x:c r="Q50" s="9"/>
      <x:c r="R50" s="9"/>
      <x:c r="S50" s="13" t="str">
        <x:f>IF(X50="","",IF(X50&lt;&gt;"Ready","Not supplied",J50+K50-SUM(L50:Q50)))</x:f>
      </x:c>
      <x:c r="T50" s="13" t="str">
        <x:f>IF(X50="","",IF(X50&lt;&gt;"Ready","Not supplied",IF(F50=0,"n.a.",E50/F50)))</x:f>
      </x:c>
      <x:c r="U50" s="14" t="str">
        <x:f>IF(X50="","",IF(X50&lt;&gt;"Ready","Not supplied",IF(G50=0,"n.a.",H50/G50)))</x:f>
      </x:c>
      <x:c r="V50" s="13" t="str">
        <x:f>IF(X50="","",IF(X50&lt;&gt;"Ready","Not supplied",IF(I50=0,"n.a.",J50/I50)))</x:f>
      </x:c>
      <x:c r="W50" s="13" t="str">
        <x:f>IF(X50="","",IF(X50&lt;&gt;"Ready","Not supplied",S50-E50))</x:f>
      </x:c>
      <x:c r="X50" s="12" t="str">
        <x:f>IF(A50="","",IF(OR(B50="",C50="",D50&lt;&gt;"Yes",COUNT(E50:Q50)&lt;&gt;13,R50=""),"Missing input",IF(OR(H50&gt;G50,F50&gt;G50,F50+H50&lt;&gt;G50),"Customer counts mismatch",IF(COUNTIFS($A$6:$A$65,A50,$B$6:$B$65,B50,$C$6:$C$65,C50)&gt;1,"Duplicate key","Ready"))))</x:f>
      </x:c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</x:row>
    <x:row r="51" ht="23" customHeight="1">
      <x:c r="A51" s="8"/>
      <x:c r="B51" s="7"/>
      <x:c r="C51" s="7"/>
      <x:c r="D51" s="7"/>
      <x:c r="E51" s="9"/>
      <x:c r="F51" s="11"/>
      <x:c r="G51" s="11"/>
      <x:c r="H51" s="11"/>
      <x:c r="I51" s="11"/>
      <x:c r="J51" s="9"/>
      <x:c r="K51" s="9"/>
      <x:c r="L51" s="9"/>
      <x:c r="M51" s="9"/>
      <x:c r="N51" s="9"/>
      <x:c r="O51" s="9"/>
      <x:c r="P51" s="9"/>
      <x:c r="Q51" s="9"/>
      <x:c r="R51" s="9"/>
      <x:c r="S51" s="13" t="str">
        <x:f>IF(X51="","",IF(X51&lt;&gt;"Ready","Not supplied",J51+K51-SUM(L51:Q51)))</x:f>
      </x:c>
      <x:c r="T51" s="13" t="str">
        <x:f>IF(X51="","",IF(X51&lt;&gt;"Ready","Not supplied",IF(F51=0,"n.a.",E51/F51)))</x:f>
      </x:c>
      <x:c r="U51" s="14" t="str">
        <x:f>IF(X51="","",IF(X51&lt;&gt;"Ready","Not supplied",IF(G51=0,"n.a.",H51/G51)))</x:f>
      </x:c>
      <x:c r="V51" s="13" t="str">
        <x:f>IF(X51="","",IF(X51&lt;&gt;"Ready","Not supplied",IF(I51=0,"n.a.",J51/I51)))</x:f>
      </x:c>
      <x:c r="W51" s="13" t="str">
        <x:f>IF(X51="","",IF(X51&lt;&gt;"Ready","Not supplied",S51-E51))</x:f>
      </x:c>
      <x:c r="X51" s="12" t="str">
        <x:f>IF(A51="","",IF(OR(B51="",C51="",D51&lt;&gt;"Yes",COUNT(E51:Q51)&lt;&gt;13,R51=""),"Missing input",IF(OR(H51&gt;G51,F51&gt;G51,F51+H51&lt;&gt;G51),"Customer counts mismatch",IF(COUNTIFS($A$6:$A$65,A51,$B$6:$B$65,B51,$C$6:$C$65,C51)&gt;1,"Duplicate key","Ready"))))</x:f>
      </x:c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</x:row>
    <x:row r="52" ht="23" customHeight="1">
      <x:c r="A52" s="8"/>
      <x:c r="B52" s="7"/>
      <x:c r="C52" s="7"/>
      <x:c r="D52" s="7"/>
      <x:c r="E52" s="9"/>
      <x:c r="F52" s="11"/>
      <x:c r="G52" s="11"/>
      <x:c r="H52" s="11"/>
      <x:c r="I52" s="11"/>
      <x:c r="J52" s="9"/>
      <x:c r="K52" s="9"/>
      <x:c r="L52" s="9"/>
      <x:c r="M52" s="9"/>
      <x:c r="N52" s="9"/>
      <x:c r="O52" s="9"/>
      <x:c r="P52" s="9"/>
      <x:c r="Q52" s="9"/>
      <x:c r="R52" s="9"/>
      <x:c r="S52" s="13" t="str">
        <x:f>IF(X52="","",IF(X52&lt;&gt;"Ready","Not supplied",J52+K52-SUM(L52:Q52)))</x:f>
      </x:c>
      <x:c r="T52" s="13" t="str">
        <x:f>IF(X52="","",IF(X52&lt;&gt;"Ready","Not supplied",IF(F52=0,"n.a.",E52/F52)))</x:f>
      </x:c>
      <x:c r="U52" s="14" t="str">
        <x:f>IF(X52="","",IF(X52&lt;&gt;"Ready","Not supplied",IF(G52=0,"n.a.",H52/G52)))</x:f>
      </x:c>
      <x:c r="V52" s="13" t="str">
        <x:f>IF(X52="","",IF(X52&lt;&gt;"Ready","Not supplied",IF(I52=0,"n.a.",J52/I52)))</x:f>
      </x:c>
      <x:c r="W52" s="13" t="str">
        <x:f>IF(X52="","",IF(X52&lt;&gt;"Ready","Not supplied",S52-E52))</x:f>
      </x:c>
      <x:c r="X52" s="12" t="str">
        <x:f>IF(A52="","",IF(OR(B52="",C52="",D52&lt;&gt;"Yes",COUNT(E52:Q52)&lt;&gt;13,R52=""),"Missing input",IF(OR(H52&gt;G52,F52&gt;G52,F52+H52&lt;&gt;G52),"Customer counts mismatch",IF(COUNTIFS($A$6:$A$65,A52,$B$6:$B$65,B52,$C$6:$C$65,C52)&gt;1,"Duplicate key","Ready"))))</x:f>
      </x:c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</x:row>
    <x:row r="53" ht="23" customHeight="1">
      <x:c r="A53" s="8"/>
      <x:c r="B53" s="7"/>
      <x:c r="C53" s="7"/>
      <x:c r="D53" s="7"/>
      <x:c r="E53" s="9"/>
      <x:c r="F53" s="11"/>
      <x:c r="G53" s="11"/>
      <x:c r="H53" s="11"/>
      <x:c r="I53" s="11"/>
      <x:c r="J53" s="9"/>
      <x:c r="K53" s="9"/>
      <x:c r="L53" s="9"/>
      <x:c r="M53" s="9"/>
      <x:c r="N53" s="9"/>
      <x:c r="O53" s="9"/>
      <x:c r="P53" s="9"/>
      <x:c r="Q53" s="9"/>
      <x:c r="R53" s="9"/>
      <x:c r="S53" s="13" t="str">
        <x:f>IF(X53="","",IF(X53&lt;&gt;"Ready","Not supplied",J53+K53-SUM(L53:Q53)))</x:f>
      </x:c>
      <x:c r="T53" s="13" t="str">
        <x:f>IF(X53="","",IF(X53&lt;&gt;"Ready","Not supplied",IF(F53=0,"n.a.",E53/F53)))</x:f>
      </x:c>
      <x:c r="U53" s="14" t="str">
        <x:f>IF(X53="","",IF(X53&lt;&gt;"Ready","Not supplied",IF(G53=0,"n.a.",H53/G53)))</x:f>
      </x:c>
      <x:c r="V53" s="13" t="str">
        <x:f>IF(X53="","",IF(X53&lt;&gt;"Ready","Not supplied",IF(I53=0,"n.a.",J53/I53)))</x:f>
      </x:c>
      <x:c r="W53" s="13" t="str">
        <x:f>IF(X53="","",IF(X53&lt;&gt;"Ready","Not supplied",S53-E53))</x:f>
      </x:c>
      <x:c r="X53" s="12" t="str">
        <x:f>IF(A53="","",IF(OR(B53="",C53="",D53&lt;&gt;"Yes",COUNT(E53:Q53)&lt;&gt;13,R53=""),"Missing input",IF(OR(H53&gt;G53,F53&gt;G53,F53+H53&lt;&gt;G53),"Customer counts mismatch",IF(COUNTIFS($A$6:$A$65,A53,$B$6:$B$65,B53,$C$6:$C$65,C53)&gt;1,"Duplicate key","Ready"))))</x:f>
      </x:c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</x:row>
    <x:row r="54" ht="23" customHeight="1">
      <x:c r="A54" s="8"/>
      <x:c r="B54" s="7"/>
      <x:c r="C54" s="7"/>
      <x:c r="D54" s="7"/>
      <x:c r="E54" s="9"/>
      <x:c r="F54" s="11"/>
      <x:c r="G54" s="11"/>
      <x:c r="H54" s="11"/>
      <x:c r="I54" s="11"/>
      <x:c r="J54" s="9"/>
      <x:c r="K54" s="9"/>
      <x:c r="L54" s="9"/>
      <x:c r="M54" s="9"/>
      <x:c r="N54" s="9"/>
      <x:c r="O54" s="9"/>
      <x:c r="P54" s="9"/>
      <x:c r="Q54" s="9"/>
      <x:c r="R54" s="9"/>
      <x:c r="S54" s="13" t="str">
        <x:f>IF(X54="","",IF(X54&lt;&gt;"Ready","Not supplied",J54+K54-SUM(L54:Q54)))</x:f>
      </x:c>
      <x:c r="T54" s="13" t="str">
        <x:f>IF(X54="","",IF(X54&lt;&gt;"Ready","Not supplied",IF(F54=0,"n.a.",E54/F54)))</x:f>
      </x:c>
      <x:c r="U54" s="14" t="str">
        <x:f>IF(X54="","",IF(X54&lt;&gt;"Ready","Not supplied",IF(G54=0,"n.a.",H54/G54)))</x:f>
      </x:c>
      <x:c r="V54" s="13" t="str">
        <x:f>IF(X54="","",IF(X54&lt;&gt;"Ready","Not supplied",IF(I54=0,"n.a.",J54/I54)))</x:f>
      </x:c>
      <x:c r="W54" s="13" t="str">
        <x:f>IF(X54="","",IF(X54&lt;&gt;"Ready","Not supplied",S54-E54))</x:f>
      </x:c>
      <x:c r="X54" s="12" t="str">
        <x:f>IF(A54="","",IF(OR(B54="",C54="",D54&lt;&gt;"Yes",COUNT(E54:Q54)&lt;&gt;13,R54=""),"Missing input",IF(OR(H54&gt;G54,F54&gt;G54,F54+H54&lt;&gt;G54),"Customer counts mismatch",IF(COUNTIFS($A$6:$A$65,A54,$B$6:$B$65,B54,$C$6:$C$65,C54)&gt;1,"Duplicate key","Ready"))))</x:f>
      </x:c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</x:row>
    <x:row r="55" ht="23" customHeight="1">
      <x:c r="A55" s="8"/>
      <x:c r="B55" s="7"/>
      <x:c r="C55" s="7"/>
      <x:c r="D55" s="7"/>
      <x:c r="E55" s="9"/>
      <x:c r="F55" s="11"/>
      <x:c r="G55" s="11"/>
      <x:c r="H55" s="11"/>
      <x:c r="I55" s="11"/>
      <x:c r="J55" s="9"/>
      <x:c r="K55" s="9"/>
      <x:c r="L55" s="9"/>
      <x:c r="M55" s="9"/>
      <x:c r="N55" s="9"/>
      <x:c r="O55" s="9"/>
      <x:c r="P55" s="9"/>
      <x:c r="Q55" s="9"/>
      <x:c r="R55" s="9"/>
      <x:c r="S55" s="13" t="str">
        <x:f>IF(X55="","",IF(X55&lt;&gt;"Ready","Not supplied",J55+K55-SUM(L55:Q55)))</x:f>
      </x:c>
      <x:c r="T55" s="13" t="str">
        <x:f>IF(X55="","",IF(X55&lt;&gt;"Ready","Not supplied",IF(F55=0,"n.a.",E55/F55)))</x:f>
      </x:c>
      <x:c r="U55" s="14" t="str">
        <x:f>IF(X55="","",IF(X55&lt;&gt;"Ready","Not supplied",IF(G55=0,"n.a.",H55/G55)))</x:f>
      </x:c>
      <x:c r="V55" s="13" t="str">
        <x:f>IF(X55="","",IF(X55&lt;&gt;"Ready","Not supplied",IF(I55=0,"n.a.",J55/I55)))</x:f>
      </x:c>
      <x:c r="W55" s="13" t="str">
        <x:f>IF(X55="","",IF(X55&lt;&gt;"Ready","Not supplied",S55-E55))</x:f>
      </x:c>
      <x:c r="X55" s="12" t="str">
        <x:f>IF(A55="","",IF(OR(B55="",C55="",D55&lt;&gt;"Yes",COUNT(E55:Q55)&lt;&gt;13,R55=""),"Missing input",IF(OR(H55&gt;G55,F55&gt;G55,F55+H55&lt;&gt;G55),"Customer counts mismatch",IF(COUNTIFS($A$6:$A$65,A55,$B$6:$B$65,B55,$C$6:$C$65,C55)&gt;1,"Duplicate key","Ready"))))</x:f>
      </x:c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</x:row>
    <x:row r="56" ht="23" customHeight="1">
      <x:c r="A56" s="8"/>
      <x:c r="B56" s="7"/>
      <x:c r="C56" s="7"/>
      <x:c r="D56" s="7"/>
      <x:c r="E56" s="9"/>
      <x:c r="F56" s="11"/>
      <x:c r="G56" s="11"/>
      <x:c r="H56" s="11"/>
      <x:c r="I56" s="11"/>
      <x:c r="J56" s="9"/>
      <x:c r="K56" s="9"/>
      <x:c r="L56" s="9"/>
      <x:c r="M56" s="9"/>
      <x:c r="N56" s="9"/>
      <x:c r="O56" s="9"/>
      <x:c r="P56" s="9"/>
      <x:c r="Q56" s="9"/>
      <x:c r="R56" s="9"/>
      <x:c r="S56" s="13" t="str">
        <x:f>IF(X56="","",IF(X56&lt;&gt;"Ready","Not supplied",J56+K56-SUM(L56:Q56)))</x:f>
      </x:c>
      <x:c r="T56" s="13" t="str">
        <x:f>IF(X56="","",IF(X56&lt;&gt;"Ready","Not supplied",IF(F56=0,"n.a.",E56/F56)))</x:f>
      </x:c>
      <x:c r="U56" s="14" t="str">
        <x:f>IF(X56="","",IF(X56&lt;&gt;"Ready","Not supplied",IF(G56=0,"n.a.",H56/G56)))</x:f>
      </x:c>
      <x:c r="V56" s="13" t="str">
        <x:f>IF(X56="","",IF(X56&lt;&gt;"Ready","Not supplied",IF(I56=0,"n.a.",J56/I56)))</x:f>
      </x:c>
      <x:c r="W56" s="13" t="str">
        <x:f>IF(X56="","",IF(X56&lt;&gt;"Ready","Not supplied",S56-E56))</x:f>
      </x:c>
      <x:c r="X56" s="12" t="str">
        <x:f>IF(A56="","",IF(OR(B56="",C56="",D56&lt;&gt;"Yes",COUNT(E56:Q56)&lt;&gt;13,R56=""),"Missing input",IF(OR(H56&gt;G56,F56&gt;G56,F56+H56&lt;&gt;G56),"Customer counts mismatch",IF(COUNTIFS($A$6:$A$65,A56,$B$6:$B$65,B56,$C$6:$C$65,C56)&gt;1,"Duplicate key","Ready"))))</x:f>
      </x:c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</x:row>
    <x:row r="57" ht="23" customHeight="1">
      <x:c r="A57" s="8"/>
      <x:c r="B57" s="7"/>
      <x:c r="C57" s="7"/>
      <x:c r="D57" s="7"/>
      <x:c r="E57" s="9"/>
      <x:c r="F57" s="11"/>
      <x:c r="G57" s="11"/>
      <x:c r="H57" s="11"/>
      <x:c r="I57" s="11"/>
      <x:c r="J57" s="9"/>
      <x:c r="K57" s="9"/>
      <x:c r="L57" s="9"/>
      <x:c r="M57" s="9"/>
      <x:c r="N57" s="9"/>
      <x:c r="O57" s="9"/>
      <x:c r="P57" s="9"/>
      <x:c r="Q57" s="9"/>
      <x:c r="R57" s="9"/>
      <x:c r="S57" s="13" t="str">
        <x:f>IF(X57="","",IF(X57&lt;&gt;"Ready","Not supplied",J57+K57-SUM(L57:Q57)))</x:f>
      </x:c>
      <x:c r="T57" s="13" t="str">
        <x:f>IF(X57="","",IF(X57&lt;&gt;"Ready","Not supplied",IF(F57=0,"n.a.",E57/F57)))</x:f>
      </x:c>
      <x:c r="U57" s="14" t="str">
        <x:f>IF(X57="","",IF(X57&lt;&gt;"Ready","Not supplied",IF(G57=0,"n.a.",H57/G57)))</x:f>
      </x:c>
      <x:c r="V57" s="13" t="str">
        <x:f>IF(X57="","",IF(X57&lt;&gt;"Ready","Not supplied",IF(I57=0,"n.a.",J57/I57)))</x:f>
      </x:c>
      <x:c r="W57" s="13" t="str">
        <x:f>IF(X57="","",IF(X57&lt;&gt;"Ready","Not supplied",S57-E57))</x:f>
      </x:c>
      <x:c r="X57" s="12" t="str">
        <x:f>IF(A57="","",IF(OR(B57="",C57="",D57&lt;&gt;"Yes",COUNT(E57:Q57)&lt;&gt;13,R57=""),"Missing input",IF(OR(H57&gt;G57,F57&gt;G57,F57+H57&lt;&gt;G57),"Customer counts mismatch",IF(COUNTIFS($A$6:$A$65,A57,$B$6:$B$65,B57,$C$6:$C$65,C57)&gt;1,"Duplicate key","Ready"))))</x:f>
      </x:c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</x:row>
    <x:row r="58" ht="23" customHeight="1">
      <x:c r="A58" s="8"/>
      <x:c r="B58" s="7"/>
      <x:c r="C58" s="7"/>
      <x:c r="D58" s="7"/>
      <x:c r="E58" s="9"/>
      <x:c r="F58" s="11"/>
      <x:c r="G58" s="11"/>
      <x:c r="H58" s="11"/>
      <x:c r="I58" s="11"/>
      <x:c r="J58" s="9"/>
      <x:c r="K58" s="9"/>
      <x:c r="L58" s="9"/>
      <x:c r="M58" s="9"/>
      <x:c r="N58" s="9"/>
      <x:c r="O58" s="9"/>
      <x:c r="P58" s="9"/>
      <x:c r="Q58" s="9"/>
      <x:c r="R58" s="9"/>
      <x:c r="S58" s="13" t="str">
        <x:f>IF(X58="","",IF(X58&lt;&gt;"Ready","Not supplied",J58+K58-SUM(L58:Q58)))</x:f>
      </x:c>
      <x:c r="T58" s="13" t="str">
        <x:f>IF(X58="","",IF(X58&lt;&gt;"Ready","Not supplied",IF(F58=0,"n.a.",E58/F58)))</x:f>
      </x:c>
      <x:c r="U58" s="14" t="str">
        <x:f>IF(X58="","",IF(X58&lt;&gt;"Ready","Not supplied",IF(G58=0,"n.a.",H58/G58)))</x:f>
      </x:c>
      <x:c r="V58" s="13" t="str">
        <x:f>IF(X58="","",IF(X58&lt;&gt;"Ready","Not supplied",IF(I58=0,"n.a.",J58/I58)))</x:f>
      </x:c>
      <x:c r="W58" s="13" t="str">
        <x:f>IF(X58="","",IF(X58&lt;&gt;"Ready","Not supplied",S58-E58))</x:f>
      </x:c>
      <x:c r="X58" s="12" t="str">
        <x:f>IF(A58="","",IF(OR(B58="",C58="",D58&lt;&gt;"Yes",COUNT(E58:Q58)&lt;&gt;13,R58=""),"Missing input",IF(OR(H58&gt;G58,F58&gt;G58,F58+H58&lt;&gt;G58),"Customer counts mismatch",IF(COUNTIFS($A$6:$A$65,A58,$B$6:$B$65,B58,$C$6:$C$65,C58)&gt;1,"Duplicate key","Ready"))))</x:f>
      </x:c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</x:row>
    <x:row r="59" ht="23" customHeight="1">
      <x:c r="A59" s="8"/>
      <x:c r="B59" s="7"/>
      <x:c r="C59" s="7"/>
      <x:c r="D59" s="7"/>
      <x:c r="E59" s="9"/>
      <x:c r="F59" s="11"/>
      <x:c r="G59" s="11"/>
      <x:c r="H59" s="11"/>
      <x:c r="I59" s="11"/>
      <x:c r="J59" s="9"/>
      <x:c r="K59" s="9"/>
      <x:c r="L59" s="9"/>
      <x:c r="M59" s="9"/>
      <x:c r="N59" s="9"/>
      <x:c r="O59" s="9"/>
      <x:c r="P59" s="9"/>
      <x:c r="Q59" s="9"/>
      <x:c r="R59" s="9"/>
      <x:c r="S59" s="13" t="str">
        <x:f>IF(X59="","",IF(X59&lt;&gt;"Ready","Not supplied",J59+K59-SUM(L59:Q59)))</x:f>
      </x:c>
      <x:c r="T59" s="13" t="str">
        <x:f>IF(X59="","",IF(X59&lt;&gt;"Ready","Not supplied",IF(F59=0,"n.a.",E59/F59)))</x:f>
      </x:c>
      <x:c r="U59" s="14" t="str">
        <x:f>IF(X59="","",IF(X59&lt;&gt;"Ready","Not supplied",IF(G59=0,"n.a.",H59/G59)))</x:f>
      </x:c>
      <x:c r="V59" s="13" t="str">
        <x:f>IF(X59="","",IF(X59&lt;&gt;"Ready","Not supplied",IF(I59=0,"n.a.",J59/I59)))</x:f>
      </x:c>
      <x:c r="W59" s="13" t="str">
        <x:f>IF(X59="","",IF(X59&lt;&gt;"Ready","Not supplied",S59-E59))</x:f>
      </x:c>
      <x:c r="X59" s="12" t="str">
        <x:f>IF(A59="","",IF(OR(B59="",C59="",D59&lt;&gt;"Yes",COUNT(E59:Q59)&lt;&gt;13,R59=""),"Missing input",IF(OR(H59&gt;G59,F59&gt;G59,F59+H59&lt;&gt;G59),"Customer counts mismatch",IF(COUNTIFS($A$6:$A$65,A59,$B$6:$B$65,B59,$C$6:$C$65,C59)&gt;1,"Duplicate key","Ready"))))</x:f>
      </x:c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</x:row>
    <x:row r="60" ht="23" customHeight="1">
      <x:c r="A60" s="8"/>
      <x:c r="B60" s="7"/>
      <x:c r="C60" s="7"/>
      <x:c r="D60" s="7"/>
      <x:c r="E60" s="9"/>
      <x:c r="F60" s="11"/>
      <x:c r="G60" s="11"/>
      <x:c r="H60" s="11"/>
      <x:c r="I60" s="11"/>
      <x:c r="J60" s="9"/>
      <x:c r="K60" s="9"/>
      <x:c r="L60" s="9"/>
      <x:c r="M60" s="9"/>
      <x:c r="N60" s="9"/>
      <x:c r="O60" s="9"/>
      <x:c r="P60" s="9"/>
      <x:c r="Q60" s="9"/>
      <x:c r="R60" s="9"/>
      <x:c r="S60" s="13" t="str">
        <x:f>IF(X60="","",IF(X60&lt;&gt;"Ready","Not supplied",J60+K60-SUM(L60:Q60)))</x:f>
      </x:c>
      <x:c r="T60" s="13" t="str">
        <x:f>IF(X60="","",IF(X60&lt;&gt;"Ready","Not supplied",IF(F60=0,"n.a.",E60/F60)))</x:f>
      </x:c>
      <x:c r="U60" s="14" t="str">
        <x:f>IF(X60="","",IF(X60&lt;&gt;"Ready","Not supplied",IF(G60=0,"n.a.",H60/G60)))</x:f>
      </x:c>
      <x:c r="V60" s="13" t="str">
        <x:f>IF(X60="","",IF(X60&lt;&gt;"Ready","Not supplied",IF(I60=0,"n.a.",J60/I60)))</x:f>
      </x:c>
      <x:c r="W60" s="13" t="str">
        <x:f>IF(X60="","",IF(X60&lt;&gt;"Ready","Not supplied",S60-E60))</x:f>
      </x:c>
      <x:c r="X60" s="12" t="str">
        <x:f>IF(A60="","",IF(OR(B60="",C60="",D60&lt;&gt;"Yes",COUNT(E60:Q60)&lt;&gt;13,R60=""),"Missing input",IF(OR(H60&gt;G60,F60&gt;G60,F60+H60&lt;&gt;G60),"Customer counts mismatch",IF(COUNTIFS($A$6:$A$65,A60,$B$6:$B$65,B60,$C$6:$C$65,C60)&gt;1,"Duplicate key","Ready"))))</x:f>
      </x:c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</x:row>
    <x:row r="61" ht="23" customHeight="1">
      <x:c r="A61" s="8"/>
      <x:c r="B61" s="7"/>
      <x:c r="C61" s="7"/>
      <x:c r="D61" s="7"/>
      <x:c r="E61" s="9"/>
      <x:c r="F61" s="11"/>
      <x:c r="G61" s="11"/>
      <x:c r="H61" s="11"/>
      <x:c r="I61" s="11"/>
      <x:c r="J61" s="9"/>
      <x:c r="K61" s="9"/>
      <x:c r="L61" s="9"/>
      <x:c r="M61" s="9"/>
      <x:c r="N61" s="9"/>
      <x:c r="O61" s="9"/>
      <x:c r="P61" s="9"/>
      <x:c r="Q61" s="9"/>
      <x:c r="R61" s="9"/>
      <x:c r="S61" s="13" t="str">
        <x:f>IF(X61="","",IF(X61&lt;&gt;"Ready","Not supplied",J61+K61-SUM(L61:Q61)))</x:f>
      </x:c>
      <x:c r="T61" s="13" t="str">
        <x:f>IF(X61="","",IF(X61&lt;&gt;"Ready","Not supplied",IF(F61=0,"n.a.",E61/F61)))</x:f>
      </x:c>
      <x:c r="U61" s="14" t="str">
        <x:f>IF(X61="","",IF(X61&lt;&gt;"Ready","Not supplied",IF(G61=0,"n.a.",H61/G61)))</x:f>
      </x:c>
      <x:c r="V61" s="13" t="str">
        <x:f>IF(X61="","",IF(X61&lt;&gt;"Ready","Not supplied",IF(I61=0,"n.a.",J61/I61)))</x:f>
      </x:c>
      <x:c r="W61" s="13" t="str">
        <x:f>IF(X61="","",IF(X61&lt;&gt;"Ready","Not supplied",S61-E61))</x:f>
      </x:c>
      <x:c r="X61" s="12" t="str">
        <x:f>IF(A61="","",IF(OR(B61="",C61="",D61&lt;&gt;"Yes",COUNT(E61:Q61)&lt;&gt;13,R61=""),"Missing input",IF(OR(H61&gt;G61,F61&gt;G61,F61+H61&lt;&gt;G61),"Customer counts mismatch",IF(COUNTIFS($A$6:$A$65,A61,$B$6:$B$65,B61,$C$6:$C$65,C61)&gt;1,"Duplicate key","Ready"))))</x:f>
      </x:c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</x:row>
    <x:row r="62" ht="23" customHeight="1">
      <x:c r="A62" s="8"/>
      <x:c r="B62" s="7"/>
      <x:c r="C62" s="7"/>
      <x:c r="D62" s="7"/>
      <x:c r="E62" s="9"/>
      <x:c r="F62" s="11"/>
      <x:c r="G62" s="11"/>
      <x:c r="H62" s="11"/>
      <x:c r="I62" s="11"/>
      <x:c r="J62" s="9"/>
      <x:c r="K62" s="9"/>
      <x:c r="L62" s="9"/>
      <x:c r="M62" s="9"/>
      <x:c r="N62" s="9"/>
      <x:c r="O62" s="9"/>
      <x:c r="P62" s="9"/>
      <x:c r="Q62" s="9"/>
      <x:c r="R62" s="9"/>
      <x:c r="S62" s="13" t="str">
        <x:f>IF(X62="","",IF(X62&lt;&gt;"Ready","Not supplied",J62+K62-SUM(L62:Q62)))</x:f>
      </x:c>
      <x:c r="T62" s="13" t="str">
        <x:f>IF(X62="","",IF(X62&lt;&gt;"Ready","Not supplied",IF(F62=0,"n.a.",E62/F62)))</x:f>
      </x:c>
      <x:c r="U62" s="14" t="str">
        <x:f>IF(X62="","",IF(X62&lt;&gt;"Ready","Not supplied",IF(G62=0,"n.a.",H62/G62)))</x:f>
      </x:c>
      <x:c r="V62" s="13" t="str">
        <x:f>IF(X62="","",IF(X62&lt;&gt;"Ready","Not supplied",IF(I62=0,"n.a.",J62/I62)))</x:f>
      </x:c>
      <x:c r="W62" s="13" t="str">
        <x:f>IF(X62="","",IF(X62&lt;&gt;"Ready","Not supplied",S62-E62))</x:f>
      </x:c>
      <x:c r="X62" s="12" t="str">
        <x:f>IF(A62="","",IF(OR(B62="",C62="",D62&lt;&gt;"Yes",COUNT(E62:Q62)&lt;&gt;13,R62=""),"Missing input",IF(OR(H62&gt;G62,F62&gt;G62,F62+H62&lt;&gt;G62),"Customer counts mismatch",IF(COUNTIFS($A$6:$A$65,A62,$B$6:$B$65,B62,$C$6:$C$65,C62)&gt;1,"Duplicate key","Ready"))))</x:f>
      </x:c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</x:row>
    <x:row r="63" ht="23" customHeight="1">
      <x:c r="A63" s="8"/>
      <x:c r="B63" s="7"/>
      <x:c r="C63" s="7"/>
      <x:c r="D63" s="7"/>
      <x:c r="E63" s="9"/>
      <x:c r="F63" s="11"/>
      <x:c r="G63" s="11"/>
      <x:c r="H63" s="11"/>
      <x:c r="I63" s="11"/>
      <x:c r="J63" s="9"/>
      <x:c r="K63" s="9"/>
      <x:c r="L63" s="9"/>
      <x:c r="M63" s="9"/>
      <x:c r="N63" s="9"/>
      <x:c r="O63" s="9"/>
      <x:c r="P63" s="9"/>
      <x:c r="Q63" s="9"/>
      <x:c r="R63" s="9"/>
      <x:c r="S63" s="13" t="str">
        <x:f>IF(X63="","",IF(X63&lt;&gt;"Ready","Not supplied",J63+K63-SUM(L63:Q63)))</x:f>
      </x:c>
      <x:c r="T63" s="13" t="str">
        <x:f>IF(X63="","",IF(X63&lt;&gt;"Ready","Not supplied",IF(F63=0,"n.a.",E63/F63)))</x:f>
      </x:c>
      <x:c r="U63" s="14" t="str">
        <x:f>IF(X63="","",IF(X63&lt;&gt;"Ready","Not supplied",IF(G63=0,"n.a.",H63/G63)))</x:f>
      </x:c>
      <x:c r="V63" s="13" t="str">
        <x:f>IF(X63="","",IF(X63&lt;&gt;"Ready","Not supplied",IF(I63=0,"n.a.",J63/I63)))</x:f>
      </x:c>
      <x:c r="W63" s="13" t="str">
        <x:f>IF(X63="","",IF(X63&lt;&gt;"Ready","Not supplied",S63-E63))</x:f>
      </x:c>
      <x:c r="X63" s="12" t="str">
        <x:f>IF(A63="","",IF(OR(B63="",C63="",D63&lt;&gt;"Yes",COUNT(E63:Q63)&lt;&gt;13,R63=""),"Missing input",IF(OR(H63&gt;G63,F63&gt;G63,F63+H63&lt;&gt;G63),"Customer counts mismatch",IF(COUNTIFS($A$6:$A$65,A63,$B$6:$B$65,B63,$C$6:$C$65,C63)&gt;1,"Duplicate key","Ready"))))</x:f>
      </x:c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</x:row>
    <x:row r="64" ht="23" customHeight="1">
      <x:c r="A64" s="8"/>
      <x:c r="B64" s="7"/>
      <x:c r="C64" s="7"/>
      <x:c r="D64" s="7"/>
      <x:c r="E64" s="9"/>
      <x:c r="F64" s="11"/>
      <x:c r="G64" s="11"/>
      <x:c r="H64" s="11"/>
      <x:c r="I64" s="11"/>
      <x:c r="J64" s="9"/>
      <x:c r="K64" s="9"/>
      <x:c r="L64" s="9"/>
      <x:c r="M64" s="9"/>
      <x:c r="N64" s="9"/>
      <x:c r="O64" s="9"/>
      <x:c r="P64" s="9"/>
      <x:c r="Q64" s="9"/>
      <x:c r="R64" s="9"/>
      <x:c r="S64" s="13" t="str">
        <x:f>IF(X64="","",IF(X64&lt;&gt;"Ready","Not supplied",J64+K64-SUM(L64:Q64)))</x:f>
      </x:c>
      <x:c r="T64" s="13" t="str">
        <x:f>IF(X64="","",IF(X64&lt;&gt;"Ready","Not supplied",IF(F64=0,"n.a.",E64/F64)))</x:f>
      </x:c>
      <x:c r="U64" s="14" t="str">
        <x:f>IF(X64="","",IF(X64&lt;&gt;"Ready","Not supplied",IF(G64=0,"n.a.",H64/G64)))</x:f>
      </x:c>
      <x:c r="V64" s="13" t="str">
        <x:f>IF(X64="","",IF(X64&lt;&gt;"Ready","Not supplied",IF(I64=0,"n.a.",J64/I64)))</x:f>
      </x:c>
      <x:c r="W64" s="13" t="str">
        <x:f>IF(X64="","",IF(X64&lt;&gt;"Ready","Not supplied",S64-E64))</x:f>
      </x:c>
      <x:c r="X64" s="12" t="str">
        <x:f>IF(A64="","",IF(OR(B64="",C64="",D64&lt;&gt;"Yes",COUNT(E64:Q64)&lt;&gt;13,R64=""),"Missing input",IF(OR(H64&gt;G64,F64&gt;G64,F64+H64&lt;&gt;G64),"Customer counts mismatch",IF(COUNTIFS($A$6:$A$65,A64,$B$6:$B$65,B64,$C$6:$C$65,C64)&gt;1,"Duplicate key","Ready"))))</x:f>
      </x:c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</x:row>
    <x:row r="65" ht="23" customHeight="1">
      <x:c r="A65" s="8"/>
      <x:c r="B65" s="7"/>
      <x:c r="C65" s="7"/>
      <x:c r="D65" s="7"/>
      <x:c r="E65" s="9"/>
      <x:c r="F65" s="11"/>
      <x:c r="G65" s="11"/>
      <x:c r="H65" s="11"/>
      <x:c r="I65" s="11"/>
      <x:c r="J65" s="9"/>
      <x:c r="K65" s="9"/>
      <x:c r="L65" s="9"/>
      <x:c r="M65" s="9"/>
      <x:c r="N65" s="9"/>
      <x:c r="O65" s="9"/>
      <x:c r="P65" s="9"/>
      <x:c r="Q65" s="9"/>
      <x:c r="R65" s="9"/>
      <x:c r="S65" s="13" t="str">
        <x:f>IF(X65="","",IF(X65&lt;&gt;"Ready","Not supplied",J65+K65-SUM(L65:Q65)))</x:f>
      </x:c>
      <x:c r="T65" s="13" t="str">
        <x:f>IF(X65="","",IF(X65&lt;&gt;"Ready","Not supplied",IF(F65=0,"n.a.",E65/F65)))</x:f>
      </x:c>
      <x:c r="U65" s="14" t="str">
        <x:f>IF(X65="","",IF(X65&lt;&gt;"Ready","Not supplied",IF(G65=0,"n.a.",H65/G65)))</x:f>
      </x:c>
      <x:c r="V65" s="13" t="str">
        <x:f>IF(X65="","",IF(X65&lt;&gt;"Ready","Not supplied",IF(I65=0,"n.a.",J65/I65)))</x:f>
      </x:c>
      <x:c r="W65" s="13" t="str">
        <x:f>IF(X65="","",IF(X65&lt;&gt;"Ready","Not supplied",S65-E65))</x:f>
      </x:c>
      <x:c r="X65" s="12" t="str">
        <x:f>IF(A65="","",IF(OR(B65="",C65="",D65&lt;&gt;"Yes",COUNT(E65:Q65)&lt;&gt;13,R65=""),"Missing input",IF(OR(H65&gt;G65,F65&gt;G65,F65+H65&lt;&gt;G65),"Customer counts mismatch",IF(COUNTIFS($A$6:$A$65,A65,$B$6:$B$65,B65,$C$6:$C$65,C65)&gt;1,"Duplicate key","Ready"))))</x:f>
      </x:c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</x:row>
  </x:sheetData>
  <x:conditionalFormatting sqref="A1:AI70">
    <x:cfRule type="containsText" dxfId="0" priority="1" operator="containsText" text="Missing"/>
  </x:conditionalFormatting>
  <x:dataValidations count="4">
    <x:dataValidation type="list" sqref="B6:B65">
      <x:formula1>"D2C,B2B"</x:formula1>
    </x:dataValidation>
    <x:dataValidation type="list" sqref="D6:D65">
      <x:formula1>"Yes,No"</x:formula1>
    </x:dataValidation>
    <x:dataValidation type="decimal" operator="greaterThanOrEqual" sqref="E6:I65">
      <x:formula1>0</x:formula1>
    </x:dataValidation>
    <x:dataValidation type="decimal" operator="greaterThanOrEqual" sqref="K6:Q6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f933beb44f491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8" hidden="0" customWidth="1"/>
    <x:col min="17" max="17" width="2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23" customHeight="1">
      <x:c r="A2" s="2" t="str">
        <x:v>Observed cohort contribution LTV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3" customHeight="1">
      <x:c r="A3" s="3" t="str">
        <x:v>One acquisition cohort × motion × channel × horizon. Cohort-end maturity ensures every customer has full observation.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</x:row>
    <x:row r="5" ht="44" customHeight="1">
      <x:c r="A5" s="6" t="str">
        <x:v>Cohort end</x:v>
      </x:c>
      <x:c r="B5" s="6" t="str">
        <x:v>Motion</x:v>
      </x:c>
      <x:c r="C5" s="6" t="str">
        <x:v>Acquisition channel</x:v>
      </x:c>
      <x:c r="D5" s="6" t="str">
        <x:v>Horizon days</x:v>
      </x:c>
      <x:c r="E5" s="6" t="str">
        <x:v>As-of date</x:v>
      </x:c>
      <x:c r="F5" s="6" t="str">
        <x:v>Complete?</x:v>
      </x:c>
      <x:c r="G5" s="6" t="str">
        <x:v>Acquired customers</x:v>
      </x:c>
      <x:c r="H5" s="6" t="str">
        <x:v>Customers repurchased</x:v>
      </x:c>
      <x:c r="I5" s="6" t="str">
        <x:v>Net sales GBP</x:v>
      </x:c>
      <x:c r="J5" s="6" t="str">
        <x:v>Shipping retained GBP</x:v>
      </x:c>
      <x:c r="K5" s="6" t="str">
        <x:v>COGS GBP</x:v>
      </x:c>
      <x:c r="L5" s="6" t="str">
        <x:v>Fulfilment GBP</x:v>
      </x:c>
      <x:c r="M5" s="6" t="str">
        <x:v>Freight GBP</x:v>
      </x:c>
      <x:c r="N5" s="6" t="str">
        <x:v>Fees + commission GBP</x:v>
      </x:c>
      <x:c r="O5" s="6" t="str">
        <x:v>Variable service GBP</x:v>
      </x:c>
      <x:c r="P5" s="6" t="str">
        <x:v>Source / extract</x:v>
      </x:c>
      <x:c r="Q5" s="6" t="str">
        <x:v>Row status</x:v>
      </x:c>
      <x:c r="R5" s="6" t="str">
        <x:v>Contribution GBP</x:v>
      </x:c>
      <x:c r="S5" s="6" t="str">
        <x:v>Observed LTV GBP</x:v>
      </x:c>
      <x:c r="T5" s="6" t="str">
        <x:v>Repurchase rate</x:v>
      </x:c>
      <x:c r="U5" s="6" t="str">
        <x:v>Cohort acquisition spend GBP</x:v>
      </x:c>
      <x:c r="V5" s="6" t="str">
        <x:v>Cohort CAC GBP</x:v>
      </x:c>
      <x:c r="W5" s="6" t="str">
        <x:v>Contribution LTV:CAC</x:v>
      </x:c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</x:row>
    <x:row r="6" ht="23" customHeight="1">
      <x:c r="A6" s="15"/>
      <x:c r="B6" s="7"/>
      <x:c r="C6" s="7"/>
      <x:c r="D6" s="7"/>
      <x:c r="E6" s="15"/>
      <x:c r="F6" s="7"/>
      <x:c r="G6" s="7"/>
      <x:c r="H6" s="7"/>
      <x:c r="I6" s="9"/>
      <x:c r="J6" s="9"/>
      <x:c r="K6" s="9"/>
      <x:c r="L6" s="9"/>
      <x:c r="M6" s="9"/>
      <x:c r="N6" s="9"/>
      <x:c r="O6" s="9"/>
      <x:c r="P6" s="7"/>
      <x:c r="Q6" s="12" t="str">
        <x:f>IF(A6="","",IF(OR(B6="",C6="",COUNT(D6:E6)&lt;&gt;2,F6&lt;&gt;"Yes",COUNT(G6:O6)&lt;&gt;9,P6=""),"Missing input",IF(E6-A6&lt;D6,"Not mature",IF(OR(G6=0,H6&gt;G6),"Invalid counts",IF(COUNTIFS($A$6:$A$65,A6,$B$6:$B$65,B6,$C$6:$C$65,C6,$D$6:$D$65,D6)&gt;1,"Duplicate key","Ready")))))</x:f>
      </x:c>
      <x:c r="R6" s="13" t="str">
        <x:f>IF(Q6="","",IF(Q6&lt;&gt;"Ready","n.a.",I6+J6-SUM(K6:O6)))</x:f>
      </x:c>
      <x:c r="S6" s="13" t="str">
        <x:f>IF(Q6="","",IF(Q6&lt;&gt;"Ready","n.a.",R6/G6))</x:f>
      </x:c>
      <x:c r="T6" s="14" t="str">
        <x:f>IF(Q6="","",IF(Q6&lt;&gt;"Ready","n.a.",H6/G6))</x:f>
      </x:c>
      <x:c r="U6" s="9"/>
      <x:c r="V6" s="13" t="str">
        <x:f>IF(Q6="","",IF(OR(Q6&lt;&gt;"Ready",NOT(ISNUMBER(U6))),"Not supplied",U6/G6))</x:f>
      </x:c>
      <x:c r="W6" s="25" t="str">
        <x:f>IF(Q6="","",IF(NOT(ISNUMBER(V6)),"Not supplied",IF(V6=0,"n.a.",S6/V6)))</x:f>
      </x:c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</x:row>
    <x:row r="7" ht="23" customHeight="1">
      <x:c r="A7" s="15"/>
      <x:c r="B7" s="7"/>
      <x:c r="C7" s="7"/>
      <x:c r="D7" s="7"/>
      <x:c r="E7" s="15"/>
      <x:c r="F7" s="7"/>
      <x:c r="G7" s="7"/>
      <x:c r="H7" s="7"/>
      <x:c r="I7" s="9"/>
      <x:c r="J7" s="9"/>
      <x:c r="K7" s="9"/>
      <x:c r="L7" s="9"/>
      <x:c r="M7" s="9"/>
      <x:c r="N7" s="9"/>
      <x:c r="O7" s="9"/>
      <x:c r="P7" s="7"/>
      <x:c r="Q7" s="12" t="str">
        <x:f>IF(A7="","",IF(OR(B7="",C7="",COUNT(D7:E7)&lt;&gt;2,F7&lt;&gt;"Yes",COUNT(G7:O7)&lt;&gt;9,P7=""),"Missing input",IF(E7-A7&lt;D7,"Not mature",IF(OR(G7=0,H7&gt;G7),"Invalid counts",IF(COUNTIFS($A$6:$A$65,A7,$B$6:$B$65,B7,$C$6:$C$65,C7,$D$6:$D$65,D7)&gt;1,"Duplicate key","Ready")))))</x:f>
      </x:c>
      <x:c r="R7" s="13" t="str">
        <x:f>IF(Q7="","",IF(Q7&lt;&gt;"Ready","n.a.",I7+J7-SUM(K7:O7)))</x:f>
      </x:c>
      <x:c r="S7" s="13" t="str">
        <x:f>IF(Q7="","",IF(Q7&lt;&gt;"Ready","n.a.",R7/G7))</x:f>
      </x:c>
      <x:c r="T7" s="14" t="str">
        <x:f>IF(Q7="","",IF(Q7&lt;&gt;"Ready","n.a.",H7/G7))</x:f>
      </x:c>
      <x:c r="U7" s="9"/>
      <x:c r="V7" s="13" t="str">
        <x:f>IF(Q7="","",IF(OR(Q7&lt;&gt;"Ready",NOT(ISNUMBER(U7))),"Not supplied",U7/G7))</x:f>
      </x:c>
      <x:c r="W7" s="25" t="str">
        <x:f>IF(Q7="","",IF(NOT(ISNUMBER(V7)),"Not supplied",IF(V7=0,"n.a.",S7/V7)))</x:f>
      </x:c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</x:row>
    <x:row r="8" ht="23" customHeight="1">
      <x:c r="A8" s="15"/>
      <x:c r="B8" s="7"/>
      <x:c r="C8" s="7"/>
      <x:c r="D8" s="7"/>
      <x:c r="E8" s="15"/>
      <x:c r="F8" s="7"/>
      <x:c r="G8" s="7"/>
      <x:c r="H8" s="7"/>
      <x:c r="I8" s="9"/>
      <x:c r="J8" s="9"/>
      <x:c r="K8" s="9"/>
      <x:c r="L8" s="9"/>
      <x:c r="M8" s="9"/>
      <x:c r="N8" s="9"/>
      <x:c r="O8" s="9"/>
      <x:c r="P8" s="7"/>
      <x:c r="Q8" s="12" t="str">
        <x:f>IF(A8="","",IF(OR(B8="",C8="",COUNT(D8:E8)&lt;&gt;2,F8&lt;&gt;"Yes",COUNT(G8:O8)&lt;&gt;9,P8=""),"Missing input",IF(E8-A8&lt;D8,"Not mature",IF(OR(G8=0,H8&gt;G8),"Invalid counts",IF(COUNTIFS($A$6:$A$65,A8,$B$6:$B$65,B8,$C$6:$C$65,C8,$D$6:$D$65,D8)&gt;1,"Duplicate key","Ready")))))</x:f>
      </x:c>
      <x:c r="R8" s="13" t="str">
        <x:f>IF(Q8="","",IF(Q8&lt;&gt;"Ready","n.a.",I8+J8-SUM(K8:O8)))</x:f>
      </x:c>
      <x:c r="S8" s="13" t="str">
        <x:f>IF(Q8="","",IF(Q8&lt;&gt;"Ready","n.a.",R8/G8))</x:f>
      </x:c>
      <x:c r="T8" s="14" t="str">
        <x:f>IF(Q8="","",IF(Q8&lt;&gt;"Ready","n.a.",H8/G8))</x:f>
      </x:c>
      <x:c r="U8" s="9"/>
      <x:c r="V8" s="13" t="str">
        <x:f>IF(Q8="","",IF(OR(Q8&lt;&gt;"Ready",NOT(ISNUMBER(U8))),"Not supplied",U8/G8))</x:f>
      </x:c>
      <x:c r="W8" s="25" t="str">
        <x:f>IF(Q8="","",IF(NOT(ISNUMBER(V8)),"Not supplied",IF(V8=0,"n.a.",S8/V8)))</x:f>
      </x:c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</x:row>
    <x:row r="9" ht="23" customHeight="1">
      <x:c r="A9" s="15"/>
      <x:c r="B9" s="7"/>
      <x:c r="C9" s="7"/>
      <x:c r="D9" s="7"/>
      <x:c r="E9" s="15"/>
      <x:c r="F9" s="7"/>
      <x:c r="G9" s="7"/>
      <x:c r="H9" s="7"/>
      <x:c r="I9" s="9"/>
      <x:c r="J9" s="9"/>
      <x:c r="K9" s="9"/>
      <x:c r="L9" s="9"/>
      <x:c r="M9" s="9"/>
      <x:c r="N9" s="9"/>
      <x:c r="O9" s="9"/>
      <x:c r="P9" s="7"/>
      <x:c r="Q9" s="12" t="str">
        <x:f>IF(A9="","",IF(OR(B9="",C9="",COUNT(D9:E9)&lt;&gt;2,F9&lt;&gt;"Yes",COUNT(G9:O9)&lt;&gt;9,P9=""),"Missing input",IF(E9-A9&lt;D9,"Not mature",IF(OR(G9=0,H9&gt;G9),"Invalid counts",IF(COUNTIFS($A$6:$A$65,A9,$B$6:$B$65,B9,$C$6:$C$65,C9,$D$6:$D$65,D9)&gt;1,"Duplicate key","Ready")))))</x:f>
      </x:c>
      <x:c r="R9" s="13" t="str">
        <x:f>IF(Q9="","",IF(Q9&lt;&gt;"Ready","n.a.",I9+J9-SUM(K9:O9)))</x:f>
      </x:c>
      <x:c r="S9" s="13" t="str">
        <x:f>IF(Q9="","",IF(Q9&lt;&gt;"Ready","n.a.",R9/G9))</x:f>
      </x:c>
      <x:c r="T9" s="14" t="str">
        <x:f>IF(Q9="","",IF(Q9&lt;&gt;"Ready","n.a.",H9/G9))</x:f>
      </x:c>
      <x:c r="U9" s="9"/>
      <x:c r="V9" s="13" t="str">
        <x:f>IF(Q9="","",IF(OR(Q9&lt;&gt;"Ready",NOT(ISNUMBER(U9))),"Not supplied",U9/G9))</x:f>
      </x:c>
      <x:c r="W9" s="25" t="str">
        <x:f>IF(Q9="","",IF(NOT(ISNUMBER(V9)),"Not supplied",IF(V9=0,"n.a.",S9/V9)))</x:f>
      </x:c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</x:row>
    <x:row r="10" ht="23" customHeight="1">
      <x:c r="A10" s="15"/>
      <x:c r="B10" s="7"/>
      <x:c r="C10" s="7"/>
      <x:c r="D10" s="7"/>
      <x:c r="E10" s="15"/>
      <x:c r="F10" s="7"/>
      <x:c r="G10" s="7"/>
      <x:c r="H10" s="7"/>
      <x:c r="I10" s="9"/>
      <x:c r="J10" s="9"/>
      <x:c r="K10" s="9"/>
      <x:c r="L10" s="9"/>
      <x:c r="M10" s="9"/>
      <x:c r="N10" s="9"/>
      <x:c r="O10" s="9"/>
      <x:c r="P10" s="7"/>
      <x:c r="Q10" s="12" t="str">
        <x:f>IF(A10="","",IF(OR(B10="",C10="",COUNT(D10:E10)&lt;&gt;2,F10&lt;&gt;"Yes",COUNT(G10:O10)&lt;&gt;9,P10=""),"Missing input",IF(E10-A10&lt;D10,"Not mature",IF(OR(G10=0,H10&gt;G10),"Invalid counts",IF(COUNTIFS($A$6:$A$65,A10,$B$6:$B$65,B10,$C$6:$C$65,C10,$D$6:$D$65,D10)&gt;1,"Duplicate key","Ready")))))</x:f>
      </x:c>
      <x:c r="R10" s="13" t="str">
        <x:f>IF(Q10="","",IF(Q10&lt;&gt;"Ready","n.a.",I10+J10-SUM(K10:O10)))</x:f>
      </x:c>
      <x:c r="S10" s="13" t="str">
        <x:f>IF(Q10="","",IF(Q10&lt;&gt;"Ready","n.a.",R10/G10))</x:f>
      </x:c>
      <x:c r="T10" s="14" t="str">
        <x:f>IF(Q10="","",IF(Q10&lt;&gt;"Ready","n.a.",H10/G10))</x:f>
      </x:c>
      <x:c r="U10" s="9"/>
      <x:c r="V10" s="13" t="str">
        <x:f>IF(Q10="","",IF(OR(Q10&lt;&gt;"Ready",NOT(ISNUMBER(U10))),"Not supplied",U10/G10))</x:f>
      </x:c>
      <x:c r="W10" s="25" t="str">
        <x:f>IF(Q10="","",IF(NOT(ISNUMBER(V10)),"Not supplied",IF(V10=0,"n.a.",S10/V10)))</x:f>
      </x:c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</x:row>
    <x:row r="11" ht="23" customHeight="1">
      <x:c r="A11" s="15"/>
      <x:c r="B11" s="7"/>
      <x:c r="C11" s="7"/>
      <x:c r="D11" s="7"/>
      <x:c r="E11" s="15"/>
      <x:c r="F11" s="7"/>
      <x:c r="G11" s="7"/>
      <x:c r="H11" s="7"/>
      <x:c r="I11" s="9"/>
      <x:c r="J11" s="9"/>
      <x:c r="K11" s="9"/>
      <x:c r="L11" s="9"/>
      <x:c r="M11" s="9"/>
      <x:c r="N11" s="9"/>
      <x:c r="O11" s="9"/>
      <x:c r="P11" s="7"/>
      <x:c r="Q11" s="12" t="str">
        <x:f>IF(A11="","",IF(OR(B11="",C11="",COUNT(D11:E11)&lt;&gt;2,F11&lt;&gt;"Yes",COUNT(G11:O11)&lt;&gt;9,P11=""),"Missing input",IF(E11-A11&lt;D11,"Not mature",IF(OR(G11=0,H11&gt;G11),"Invalid counts",IF(COUNTIFS($A$6:$A$65,A11,$B$6:$B$65,B11,$C$6:$C$65,C11,$D$6:$D$65,D11)&gt;1,"Duplicate key","Ready")))))</x:f>
      </x:c>
      <x:c r="R11" s="13" t="str">
        <x:f>IF(Q11="","",IF(Q11&lt;&gt;"Ready","n.a.",I11+J11-SUM(K11:O11)))</x:f>
      </x:c>
      <x:c r="S11" s="13" t="str">
        <x:f>IF(Q11="","",IF(Q11&lt;&gt;"Ready","n.a.",R11/G11))</x:f>
      </x:c>
      <x:c r="T11" s="14" t="str">
        <x:f>IF(Q11="","",IF(Q11&lt;&gt;"Ready","n.a.",H11/G11))</x:f>
      </x:c>
      <x:c r="U11" s="9"/>
      <x:c r="V11" s="13" t="str">
        <x:f>IF(Q11="","",IF(OR(Q11&lt;&gt;"Ready",NOT(ISNUMBER(U11))),"Not supplied",U11/G11))</x:f>
      </x:c>
      <x:c r="W11" s="25" t="str">
        <x:f>IF(Q11="","",IF(NOT(ISNUMBER(V11)),"Not supplied",IF(V11=0,"n.a.",S11/V11)))</x:f>
      </x:c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</x:row>
    <x:row r="12" ht="23" customHeight="1">
      <x:c r="A12" s="15"/>
      <x:c r="B12" s="7"/>
      <x:c r="C12" s="7"/>
      <x:c r="D12" s="7"/>
      <x:c r="E12" s="15"/>
      <x:c r="F12" s="7"/>
      <x:c r="G12" s="7"/>
      <x:c r="H12" s="7"/>
      <x:c r="I12" s="9"/>
      <x:c r="J12" s="9"/>
      <x:c r="K12" s="9"/>
      <x:c r="L12" s="9"/>
      <x:c r="M12" s="9"/>
      <x:c r="N12" s="9"/>
      <x:c r="O12" s="9"/>
      <x:c r="P12" s="7"/>
      <x:c r="Q12" s="12" t="str">
        <x:f>IF(A12="","",IF(OR(B12="",C12="",COUNT(D12:E12)&lt;&gt;2,F12&lt;&gt;"Yes",COUNT(G12:O12)&lt;&gt;9,P12=""),"Missing input",IF(E12-A12&lt;D12,"Not mature",IF(OR(G12=0,H12&gt;G12),"Invalid counts",IF(COUNTIFS($A$6:$A$65,A12,$B$6:$B$65,B12,$C$6:$C$65,C12,$D$6:$D$65,D12)&gt;1,"Duplicate key","Ready")))))</x:f>
      </x:c>
      <x:c r="R12" s="13" t="str">
        <x:f>IF(Q12="","",IF(Q12&lt;&gt;"Ready","n.a.",I12+J12-SUM(K12:O12)))</x:f>
      </x:c>
      <x:c r="S12" s="13" t="str">
        <x:f>IF(Q12="","",IF(Q12&lt;&gt;"Ready","n.a.",R12/G12))</x:f>
      </x:c>
      <x:c r="T12" s="14" t="str">
        <x:f>IF(Q12="","",IF(Q12&lt;&gt;"Ready","n.a.",H12/G12))</x:f>
      </x:c>
      <x:c r="U12" s="9"/>
      <x:c r="V12" s="13" t="str">
        <x:f>IF(Q12="","",IF(OR(Q12&lt;&gt;"Ready",NOT(ISNUMBER(U12))),"Not supplied",U12/G12))</x:f>
      </x:c>
      <x:c r="W12" s="25" t="str">
        <x:f>IF(Q12="","",IF(NOT(ISNUMBER(V12)),"Not supplied",IF(V12=0,"n.a.",S12/V12)))</x:f>
      </x:c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</x:row>
    <x:row r="13" ht="23" customHeight="1">
      <x:c r="A13" s="15"/>
      <x:c r="B13" s="7"/>
      <x:c r="C13" s="7"/>
      <x:c r="D13" s="7"/>
      <x:c r="E13" s="15"/>
      <x:c r="F13" s="7"/>
      <x:c r="G13" s="7"/>
      <x:c r="H13" s="7"/>
      <x:c r="I13" s="9"/>
      <x:c r="J13" s="9"/>
      <x:c r="K13" s="9"/>
      <x:c r="L13" s="9"/>
      <x:c r="M13" s="9"/>
      <x:c r="N13" s="9"/>
      <x:c r="O13" s="9"/>
      <x:c r="P13" s="7"/>
      <x:c r="Q13" s="12" t="str">
        <x:f>IF(A13="","",IF(OR(B13="",C13="",COUNT(D13:E13)&lt;&gt;2,F13&lt;&gt;"Yes",COUNT(G13:O13)&lt;&gt;9,P13=""),"Missing input",IF(E13-A13&lt;D13,"Not mature",IF(OR(G13=0,H13&gt;G13),"Invalid counts",IF(COUNTIFS($A$6:$A$65,A13,$B$6:$B$65,B13,$C$6:$C$65,C13,$D$6:$D$65,D13)&gt;1,"Duplicate key","Ready")))))</x:f>
      </x:c>
      <x:c r="R13" s="13" t="str">
        <x:f>IF(Q13="","",IF(Q13&lt;&gt;"Ready","n.a.",I13+J13-SUM(K13:O13)))</x:f>
      </x:c>
      <x:c r="S13" s="13" t="str">
        <x:f>IF(Q13="","",IF(Q13&lt;&gt;"Ready","n.a.",R13/G13))</x:f>
      </x:c>
      <x:c r="T13" s="14" t="str">
        <x:f>IF(Q13="","",IF(Q13&lt;&gt;"Ready","n.a.",H13/G13))</x:f>
      </x:c>
      <x:c r="U13" s="9"/>
      <x:c r="V13" s="13" t="str">
        <x:f>IF(Q13="","",IF(OR(Q13&lt;&gt;"Ready",NOT(ISNUMBER(U13))),"Not supplied",U13/G13))</x:f>
      </x:c>
      <x:c r="W13" s="25" t="str">
        <x:f>IF(Q13="","",IF(NOT(ISNUMBER(V13)),"Not supplied",IF(V13=0,"n.a.",S13/V13)))</x:f>
      </x:c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</x:row>
    <x:row r="14" ht="23" customHeight="1">
      <x:c r="A14" s="15"/>
      <x:c r="B14" s="7"/>
      <x:c r="C14" s="7"/>
      <x:c r="D14" s="7"/>
      <x:c r="E14" s="15"/>
      <x:c r="F14" s="7"/>
      <x:c r="G14" s="7"/>
      <x:c r="H14" s="7"/>
      <x:c r="I14" s="9"/>
      <x:c r="J14" s="9"/>
      <x:c r="K14" s="9"/>
      <x:c r="L14" s="9"/>
      <x:c r="M14" s="9"/>
      <x:c r="N14" s="9"/>
      <x:c r="O14" s="9"/>
      <x:c r="P14" s="7"/>
      <x:c r="Q14" s="12" t="str">
        <x:f>IF(A14="","",IF(OR(B14="",C14="",COUNT(D14:E14)&lt;&gt;2,F14&lt;&gt;"Yes",COUNT(G14:O14)&lt;&gt;9,P14=""),"Missing input",IF(E14-A14&lt;D14,"Not mature",IF(OR(G14=0,H14&gt;G14),"Invalid counts",IF(COUNTIFS($A$6:$A$65,A14,$B$6:$B$65,B14,$C$6:$C$65,C14,$D$6:$D$65,D14)&gt;1,"Duplicate key","Ready")))))</x:f>
      </x:c>
      <x:c r="R14" s="13" t="str">
        <x:f>IF(Q14="","",IF(Q14&lt;&gt;"Ready","n.a.",I14+J14-SUM(K14:O14)))</x:f>
      </x:c>
      <x:c r="S14" s="13" t="str">
        <x:f>IF(Q14="","",IF(Q14&lt;&gt;"Ready","n.a.",R14/G14))</x:f>
      </x:c>
      <x:c r="T14" s="14" t="str">
        <x:f>IF(Q14="","",IF(Q14&lt;&gt;"Ready","n.a.",H14/G14))</x:f>
      </x:c>
      <x:c r="U14" s="9"/>
      <x:c r="V14" s="13" t="str">
        <x:f>IF(Q14="","",IF(OR(Q14&lt;&gt;"Ready",NOT(ISNUMBER(U14))),"Not supplied",U14/G14))</x:f>
      </x:c>
      <x:c r="W14" s="25" t="str">
        <x:f>IF(Q14="","",IF(NOT(ISNUMBER(V14)),"Not supplied",IF(V14=0,"n.a.",S14/V14)))</x:f>
      </x:c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</x:row>
    <x:row r="15" ht="23" customHeight="1">
      <x:c r="A15" s="15"/>
      <x:c r="B15" s="7"/>
      <x:c r="C15" s="7"/>
      <x:c r="D15" s="7"/>
      <x:c r="E15" s="15"/>
      <x:c r="F15" s="7"/>
      <x:c r="G15" s="7"/>
      <x:c r="H15" s="7"/>
      <x:c r="I15" s="9"/>
      <x:c r="J15" s="9"/>
      <x:c r="K15" s="9"/>
      <x:c r="L15" s="9"/>
      <x:c r="M15" s="9"/>
      <x:c r="N15" s="9"/>
      <x:c r="O15" s="9"/>
      <x:c r="P15" s="7"/>
      <x:c r="Q15" s="12" t="str">
        <x:f>IF(A15="","",IF(OR(B15="",C15="",COUNT(D15:E15)&lt;&gt;2,F15&lt;&gt;"Yes",COUNT(G15:O15)&lt;&gt;9,P15=""),"Missing input",IF(E15-A15&lt;D15,"Not mature",IF(OR(G15=0,H15&gt;G15),"Invalid counts",IF(COUNTIFS($A$6:$A$65,A15,$B$6:$B$65,B15,$C$6:$C$65,C15,$D$6:$D$65,D15)&gt;1,"Duplicate key","Ready")))))</x:f>
      </x:c>
      <x:c r="R15" s="13" t="str">
        <x:f>IF(Q15="","",IF(Q15&lt;&gt;"Ready","n.a.",I15+J15-SUM(K15:O15)))</x:f>
      </x:c>
      <x:c r="S15" s="13" t="str">
        <x:f>IF(Q15="","",IF(Q15&lt;&gt;"Ready","n.a.",R15/G15))</x:f>
      </x:c>
      <x:c r="T15" s="14" t="str">
        <x:f>IF(Q15="","",IF(Q15&lt;&gt;"Ready","n.a.",H15/G15))</x:f>
      </x:c>
      <x:c r="U15" s="9"/>
      <x:c r="V15" s="13" t="str">
        <x:f>IF(Q15="","",IF(OR(Q15&lt;&gt;"Ready",NOT(ISNUMBER(U15))),"Not supplied",U15/G15))</x:f>
      </x:c>
      <x:c r="W15" s="25" t="str">
        <x:f>IF(Q15="","",IF(NOT(ISNUMBER(V15)),"Not supplied",IF(V15=0,"n.a.",S15/V15)))</x:f>
      </x:c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</x:row>
    <x:row r="16" ht="23" customHeight="1">
      <x:c r="A16" s="15"/>
      <x:c r="B16" s="7"/>
      <x:c r="C16" s="7"/>
      <x:c r="D16" s="7"/>
      <x:c r="E16" s="15"/>
      <x:c r="F16" s="7"/>
      <x:c r="G16" s="7"/>
      <x:c r="H16" s="7"/>
      <x:c r="I16" s="9"/>
      <x:c r="J16" s="9"/>
      <x:c r="K16" s="9"/>
      <x:c r="L16" s="9"/>
      <x:c r="M16" s="9"/>
      <x:c r="N16" s="9"/>
      <x:c r="O16" s="9"/>
      <x:c r="P16" s="7"/>
      <x:c r="Q16" s="12" t="str">
        <x:f>IF(A16="","",IF(OR(B16="",C16="",COUNT(D16:E16)&lt;&gt;2,F16&lt;&gt;"Yes",COUNT(G16:O16)&lt;&gt;9,P16=""),"Missing input",IF(E16-A16&lt;D16,"Not mature",IF(OR(G16=0,H16&gt;G16),"Invalid counts",IF(COUNTIFS($A$6:$A$65,A16,$B$6:$B$65,B16,$C$6:$C$65,C16,$D$6:$D$65,D16)&gt;1,"Duplicate key","Ready")))))</x:f>
      </x:c>
      <x:c r="R16" s="13" t="str">
        <x:f>IF(Q16="","",IF(Q16&lt;&gt;"Ready","n.a.",I16+J16-SUM(K16:O16)))</x:f>
      </x:c>
      <x:c r="S16" s="13" t="str">
        <x:f>IF(Q16="","",IF(Q16&lt;&gt;"Ready","n.a.",R16/G16))</x:f>
      </x:c>
      <x:c r="T16" s="14" t="str">
        <x:f>IF(Q16="","",IF(Q16&lt;&gt;"Ready","n.a.",H16/G16))</x:f>
      </x:c>
      <x:c r="U16" s="9"/>
      <x:c r="V16" s="13" t="str">
        <x:f>IF(Q16="","",IF(OR(Q16&lt;&gt;"Ready",NOT(ISNUMBER(U16))),"Not supplied",U16/G16))</x:f>
      </x:c>
      <x:c r="W16" s="25" t="str">
        <x:f>IF(Q16="","",IF(NOT(ISNUMBER(V16)),"Not supplied",IF(V16=0,"n.a.",S16/V16)))</x:f>
      </x:c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</x:row>
    <x:row r="17" ht="23" customHeight="1">
      <x:c r="A17" s="15"/>
      <x:c r="B17" s="7"/>
      <x:c r="C17" s="7"/>
      <x:c r="D17" s="7"/>
      <x:c r="E17" s="15"/>
      <x:c r="F17" s="7"/>
      <x:c r="G17" s="7"/>
      <x:c r="H17" s="7"/>
      <x:c r="I17" s="9"/>
      <x:c r="J17" s="9"/>
      <x:c r="K17" s="9"/>
      <x:c r="L17" s="9"/>
      <x:c r="M17" s="9"/>
      <x:c r="N17" s="9"/>
      <x:c r="O17" s="9"/>
      <x:c r="P17" s="7"/>
      <x:c r="Q17" s="12" t="str">
        <x:f>IF(A17="","",IF(OR(B17="",C17="",COUNT(D17:E17)&lt;&gt;2,F17&lt;&gt;"Yes",COUNT(G17:O17)&lt;&gt;9,P17=""),"Missing input",IF(E17-A17&lt;D17,"Not mature",IF(OR(G17=0,H17&gt;G17),"Invalid counts",IF(COUNTIFS($A$6:$A$65,A17,$B$6:$B$65,B17,$C$6:$C$65,C17,$D$6:$D$65,D17)&gt;1,"Duplicate key","Ready")))))</x:f>
      </x:c>
      <x:c r="R17" s="13" t="str">
        <x:f>IF(Q17="","",IF(Q17&lt;&gt;"Ready","n.a.",I17+J17-SUM(K17:O17)))</x:f>
      </x:c>
      <x:c r="S17" s="13" t="str">
        <x:f>IF(Q17="","",IF(Q17&lt;&gt;"Ready","n.a.",R17/G17))</x:f>
      </x:c>
      <x:c r="T17" s="14" t="str">
        <x:f>IF(Q17="","",IF(Q17&lt;&gt;"Ready","n.a.",H17/G17))</x:f>
      </x:c>
      <x:c r="U17" s="9"/>
      <x:c r="V17" s="13" t="str">
        <x:f>IF(Q17="","",IF(OR(Q17&lt;&gt;"Ready",NOT(ISNUMBER(U17))),"Not supplied",U17/G17))</x:f>
      </x:c>
      <x:c r="W17" s="25" t="str">
        <x:f>IF(Q17="","",IF(NOT(ISNUMBER(V17)),"Not supplied",IF(V17=0,"n.a.",S17/V17)))</x:f>
      </x:c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</x:row>
    <x:row r="18" ht="23" customHeight="1">
      <x:c r="A18" s="15"/>
      <x:c r="B18" s="7"/>
      <x:c r="C18" s="7"/>
      <x:c r="D18" s="7"/>
      <x:c r="E18" s="15"/>
      <x:c r="F18" s="7"/>
      <x:c r="G18" s="7"/>
      <x:c r="H18" s="7"/>
      <x:c r="I18" s="9"/>
      <x:c r="J18" s="9"/>
      <x:c r="K18" s="9"/>
      <x:c r="L18" s="9"/>
      <x:c r="M18" s="9"/>
      <x:c r="N18" s="9"/>
      <x:c r="O18" s="9"/>
      <x:c r="P18" s="7"/>
      <x:c r="Q18" s="12" t="str">
        <x:f>IF(A18="","",IF(OR(B18="",C18="",COUNT(D18:E18)&lt;&gt;2,F18&lt;&gt;"Yes",COUNT(G18:O18)&lt;&gt;9,P18=""),"Missing input",IF(E18-A18&lt;D18,"Not mature",IF(OR(G18=0,H18&gt;G18),"Invalid counts",IF(COUNTIFS($A$6:$A$65,A18,$B$6:$B$65,B18,$C$6:$C$65,C18,$D$6:$D$65,D18)&gt;1,"Duplicate key","Ready")))))</x:f>
      </x:c>
      <x:c r="R18" s="13" t="str">
        <x:f>IF(Q18="","",IF(Q18&lt;&gt;"Ready","n.a.",I18+J18-SUM(K18:O18)))</x:f>
      </x:c>
      <x:c r="S18" s="13" t="str">
        <x:f>IF(Q18="","",IF(Q18&lt;&gt;"Ready","n.a.",R18/G18))</x:f>
      </x:c>
      <x:c r="T18" s="14" t="str">
        <x:f>IF(Q18="","",IF(Q18&lt;&gt;"Ready","n.a.",H18/G18))</x:f>
      </x:c>
      <x:c r="U18" s="9"/>
      <x:c r="V18" s="13" t="str">
        <x:f>IF(Q18="","",IF(OR(Q18&lt;&gt;"Ready",NOT(ISNUMBER(U18))),"Not supplied",U18/G18))</x:f>
      </x:c>
      <x:c r="W18" s="25" t="str">
        <x:f>IF(Q18="","",IF(NOT(ISNUMBER(V18)),"Not supplied",IF(V18=0,"n.a.",S18/V18)))</x:f>
      </x:c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</x:row>
    <x:row r="19" ht="23" customHeight="1">
      <x:c r="A19" s="15"/>
      <x:c r="B19" s="7"/>
      <x:c r="C19" s="7"/>
      <x:c r="D19" s="7"/>
      <x:c r="E19" s="15"/>
      <x:c r="F19" s="7"/>
      <x:c r="G19" s="7"/>
      <x:c r="H19" s="7"/>
      <x:c r="I19" s="9"/>
      <x:c r="J19" s="9"/>
      <x:c r="K19" s="9"/>
      <x:c r="L19" s="9"/>
      <x:c r="M19" s="9"/>
      <x:c r="N19" s="9"/>
      <x:c r="O19" s="9"/>
      <x:c r="P19" s="7"/>
      <x:c r="Q19" s="12" t="str">
        <x:f>IF(A19="","",IF(OR(B19="",C19="",COUNT(D19:E19)&lt;&gt;2,F19&lt;&gt;"Yes",COUNT(G19:O19)&lt;&gt;9,P19=""),"Missing input",IF(E19-A19&lt;D19,"Not mature",IF(OR(G19=0,H19&gt;G19),"Invalid counts",IF(COUNTIFS($A$6:$A$65,A19,$B$6:$B$65,B19,$C$6:$C$65,C19,$D$6:$D$65,D19)&gt;1,"Duplicate key","Ready")))))</x:f>
      </x:c>
      <x:c r="R19" s="13" t="str">
        <x:f>IF(Q19="","",IF(Q19&lt;&gt;"Ready","n.a.",I19+J19-SUM(K19:O19)))</x:f>
      </x:c>
      <x:c r="S19" s="13" t="str">
        <x:f>IF(Q19="","",IF(Q19&lt;&gt;"Ready","n.a.",R19/G19))</x:f>
      </x:c>
      <x:c r="T19" s="14" t="str">
        <x:f>IF(Q19="","",IF(Q19&lt;&gt;"Ready","n.a.",H19/G19))</x:f>
      </x:c>
      <x:c r="U19" s="9"/>
      <x:c r="V19" s="13" t="str">
        <x:f>IF(Q19="","",IF(OR(Q19&lt;&gt;"Ready",NOT(ISNUMBER(U19))),"Not supplied",U19/G19))</x:f>
      </x:c>
      <x:c r="W19" s="25" t="str">
        <x:f>IF(Q19="","",IF(NOT(ISNUMBER(V19)),"Not supplied",IF(V19=0,"n.a.",S19/V19)))</x:f>
      </x:c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</x:row>
    <x:row r="20" ht="23" customHeight="1">
      <x:c r="A20" s="15"/>
      <x:c r="B20" s="7"/>
      <x:c r="C20" s="7"/>
      <x:c r="D20" s="7"/>
      <x:c r="E20" s="15"/>
      <x:c r="F20" s="7"/>
      <x:c r="G20" s="7"/>
      <x:c r="H20" s="7"/>
      <x:c r="I20" s="9"/>
      <x:c r="J20" s="9"/>
      <x:c r="K20" s="9"/>
      <x:c r="L20" s="9"/>
      <x:c r="M20" s="9"/>
      <x:c r="N20" s="9"/>
      <x:c r="O20" s="9"/>
      <x:c r="P20" s="7"/>
      <x:c r="Q20" s="12" t="str">
        <x:f>IF(A20="","",IF(OR(B20="",C20="",COUNT(D20:E20)&lt;&gt;2,F20&lt;&gt;"Yes",COUNT(G20:O20)&lt;&gt;9,P20=""),"Missing input",IF(E20-A20&lt;D20,"Not mature",IF(OR(G20=0,H20&gt;G20),"Invalid counts",IF(COUNTIFS($A$6:$A$65,A20,$B$6:$B$65,B20,$C$6:$C$65,C20,$D$6:$D$65,D20)&gt;1,"Duplicate key","Ready")))))</x:f>
      </x:c>
      <x:c r="R20" s="13" t="str">
        <x:f>IF(Q20="","",IF(Q20&lt;&gt;"Ready","n.a.",I20+J20-SUM(K20:O20)))</x:f>
      </x:c>
      <x:c r="S20" s="13" t="str">
        <x:f>IF(Q20="","",IF(Q20&lt;&gt;"Ready","n.a.",R20/G20))</x:f>
      </x:c>
      <x:c r="T20" s="14" t="str">
        <x:f>IF(Q20="","",IF(Q20&lt;&gt;"Ready","n.a.",H20/G20))</x:f>
      </x:c>
      <x:c r="U20" s="9"/>
      <x:c r="V20" s="13" t="str">
        <x:f>IF(Q20="","",IF(OR(Q20&lt;&gt;"Ready",NOT(ISNUMBER(U20))),"Not supplied",U20/G20))</x:f>
      </x:c>
      <x:c r="W20" s="25" t="str">
        <x:f>IF(Q20="","",IF(NOT(ISNUMBER(V20)),"Not supplied",IF(V20=0,"n.a.",S20/V20)))</x:f>
      </x:c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</x:row>
    <x:row r="21" ht="23" customHeight="1">
      <x:c r="A21" s="15"/>
      <x:c r="B21" s="7"/>
      <x:c r="C21" s="7"/>
      <x:c r="D21" s="7"/>
      <x:c r="E21" s="15"/>
      <x:c r="F21" s="7"/>
      <x:c r="G21" s="7"/>
      <x:c r="H21" s="7"/>
      <x:c r="I21" s="9"/>
      <x:c r="J21" s="9"/>
      <x:c r="K21" s="9"/>
      <x:c r="L21" s="9"/>
      <x:c r="M21" s="9"/>
      <x:c r="N21" s="9"/>
      <x:c r="O21" s="9"/>
      <x:c r="P21" s="7"/>
      <x:c r="Q21" s="12" t="str">
        <x:f>IF(A21="","",IF(OR(B21="",C21="",COUNT(D21:E21)&lt;&gt;2,F21&lt;&gt;"Yes",COUNT(G21:O21)&lt;&gt;9,P21=""),"Missing input",IF(E21-A21&lt;D21,"Not mature",IF(OR(G21=0,H21&gt;G21),"Invalid counts",IF(COUNTIFS($A$6:$A$65,A21,$B$6:$B$65,B21,$C$6:$C$65,C21,$D$6:$D$65,D21)&gt;1,"Duplicate key","Ready")))))</x:f>
      </x:c>
      <x:c r="R21" s="13" t="str">
        <x:f>IF(Q21="","",IF(Q21&lt;&gt;"Ready","n.a.",I21+J21-SUM(K21:O21)))</x:f>
      </x:c>
      <x:c r="S21" s="13" t="str">
        <x:f>IF(Q21="","",IF(Q21&lt;&gt;"Ready","n.a.",R21/G21))</x:f>
      </x:c>
      <x:c r="T21" s="14" t="str">
        <x:f>IF(Q21="","",IF(Q21&lt;&gt;"Ready","n.a.",H21/G21))</x:f>
      </x:c>
      <x:c r="U21" s="9"/>
      <x:c r="V21" s="13" t="str">
        <x:f>IF(Q21="","",IF(OR(Q21&lt;&gt;"Ready",NOT(ISNUMBER(U21))),"Not supplied",U21/G21))</x:f>
      </x:c>
      <x:c r="W21" s="25" t="str">
        <x:f>IF(Q21="","",IF(NOT(ISNUMBER(V21)),"Not supplied",IF(V21=0,"n.a.",S21/V21)))</x:f>
      </x:c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</x:row>
    <x:row r="22" ht="23" customHeight="1">
      <x:c r="A22" s="15"/>
      <x:c r="B22" s="7"/>
      <x:c r="C22" s="7"/>
      <x:c r="D22" s="7"/>
      <x:c r="E22" s="15"/>
      <x:c r="F22" s="7"/>
      <x:c r="G22" s="7"/>
      <x:c r="H22" s="7"/>
      <x:c r="I22" s="9"/>
      <x:c r="J22" s="9"/>
      <x:c r="K22" s="9"/>
      <x:c r="L22" s="9"/>
      <x:c r="M22" s="9"/>
      <x:c r="N22" s="9"/>
      <x:c r="O22" s="9"/>
      <x:c r="P22" s="7"/>
      <x:c r="Q22" s="12" t="str">
        <x:f>IF(A22="","",IF(OR(B22="",C22="",COUNT(D22:E22)&lt;&gt;2,F22&lt;&gt;"Yes",COUNT(G22:O22)&lt;&gt;9,P22=""),"Missing input",IF(E22-A22&lt;D22,"Not mature",IF(OR(G22=0,H22&gt;G22),"Invalid counts",IF(COUNTIFS($A$6:$A$65,A22,$B$6:$B$65,B22,$C$6:$C$65,C22,$D$6:$D$65,D22)&gt;1,"Duplicate key","Ready")))))</x:f>
      </x:c>
      <x:c r="R22" s="13" t="str">
        <x:f>IF(Q22="","",IF(Q22&lt;&gt;"Ready","n.a.",I22+J22-SUM(K22:O22)))</x:f>
      </x:c>
      <x:c r="S22" s="13" t="str">
        <x:f>IF(Q22="","",IF(Q22&lt;&gt;"Ready","n.a.",R22/G22))</x:f>
      </x:c>
      <x:c r="T22" s="14" t="str">
        <x:f>IF(Q22="","",IF(Q22&lt;&gt;"Ready","n.a.",H22/G22))</x:f>
      </x:c>
      <x:c r="U22" s="9"/>
      <x:c r="V22" s="13" t="str">
        <x:f>IF(Q22="","",IF(OR(Q22&lt;&gt;"Ready",NOT(ISNUMBER(U22))),"Not supplied",U22/G22))</x:f>
      </x:c>
      <x:c r="W22" s="25" t="str">
        <x:f>IF(Q22="","",IF(NOT(ISNUMBER(V22)),"Not supplied",IF(V22=0,"n.a.",S22/V22)))</x:f>
      </x:c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</x:row>
    <x:row r="23" ht="23" customHeight="1">
      <x:c r="A23" s="15"/>
      <x:c r="B23" s="7"/>
      <x:c r="C23" s="7"/>
      <x:c r="D23" s="7"/>
      <x:c r="E23" s="15"/>
      <x:c r="F23" s="7"/>
      <x:c r="G23" s="7"/>
      <x:c r="H23" s="7"/>
      <x:c r="I23" s="9"/>
      <x:c r="J23" s="9"/>
      <x:c r="K23" s="9"/>
      <x:c r="L23" s="9"/>
      <x:c r="M23" s="9"/>
      <x:c r="N23" s="9"/>
      <x:c r="O23" s="9"/>
      <x:c r="P23" s="7"/>
      <x:c r="Q23" s="12" t="str">
        <x:f>IF(A23="","",IF(OR(B23="",C23="",COUNT(D23:E23)&lt;&gt;2,F23&lt;&gt;"Yes",COUNT(G23:O23)&lt;&gt;9,P23=""),"Missing input",IF(E23-A23&lt;D23,"Not mature",IF(OR(G23=0,H23&gt;G23),"Invalid counts",IF(COUNTIFS($A$6:$A$65,A23,$B$6:$B$65,B23,$C$6:$C$65,C23,$D$6:$D$65,D23)&gt;1,"Duplicate key","Ready")))))</x:f>
      </x:c>
      <x:c r="R23" s="13" t="str">
        <x:f>IF(Q23="","",IF(Q23&lt;&gt;"Ready","n.a.",I23+J23-SUM(K23:O23)))</x:f>
      </x:c>
      <x:c r="S23" s="13" t="str">
        <x:f>IF(Q23="","",IF(Q23&lt;&gt;"Ready","n.a.",R23/G23))</x:f>
      </x:c>
      <x:c r="T23" s="14" t="str">
        <x:f>IF(Q23="","",IF(Q23&lt;&gt;"Ready","n.a.",H23/G23))</x:f>
      </x:c>
      <x:c r="U23" s="9"/>
      <x:c r="V23" s="13" t="str">
        <x:f>IF(Q23="","",IF(OR(Q23&lt;&gt;"Ready",NOT(ISNUMBER(U23))),"Not supplied",U23/G23))</x:f>
      </x:c>
      <x:c r="W23" s="25" t="str">
        <x:f>IF(Q23="","",IF(NOT(ISNUMBER(V23)),"Not supplied",IF(V23=0,"n.a.",S23/V23)))</x:f>
      </x:c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</x:row>
    <x:row r="24" ht="23" customHeight="1">
      <x:c r="A24" s="15"/>
      <x:c r="B24" s="7"/>
      <x:c r="C24" s="7"/>
      <x:c r="D24" s="7"/>
      <x:c r="E24" s="15"/>
      <x:c r="F24" s="7"/>
      <x:c r="G24" s="7"/>
      <x:c r="H24" s="7"/>
      <x:c r="I24" s="9"/>
      <x:c r="J24" s="9"/>
      <x:c r="K24" s="9"/>
      <x:c r="L24" s="9"/>
      <x:c r="M24" s="9"/>
      <x:c r="N24" s="9"/>
      <x:c r="O24" s="9"/>
      <x:c r="P24" s="7"/>
      <x:c r="Q24" s="12" t="str">
        <x:f>IF(A24="","",IF(OR(B24="",C24="",COUNT(D24:E24)&lt;&gt;2,F24&lt;&gt;"Yes",COUNT(G24:O24)&lt;&gt;9,P24=""),"Missing input",IF(E24-A24&lt;D24,"Not mature",IF(OR(G24=0,H24&gt;G24),"Invalid counts",IF(COUNTIFS($A$6:$A$65,A24,$B$6:$B$65,B24,$C$6:$C$65,C24,$D$6:$D$65,D24)&gt;1,"Duplicate key","Ready")))))</x:f>
      </x:c>
      <x:c r="R24" s="13" t="str">
        <x:f>IF(Q24="","",IF(Q24&lt;&gt;"Ready","n.a.",I24+J24-SUM(K24:O24)))</x:f>
      </x:c>
      <x:c r="S24" s="13" t="str">
        <x:f>IF(Q24="","",IF(Q24&lt;&gt;"Ready","n.a.",R24/G24))</x:f>
      </x:c>
      <x:c r="T24" s="14" t="str">
        <x:f>IF(Q24="","",IF(Q24&lt;&gt;"Ready","n.a.",H24/G24))</x:f>
      </x:c>
      <x:c r="U24" s="9"/>
      <x:c r="V24" s="13" t="str">
        <x:f>IF(Q24="","",IF(OR(Q24&lt;&gt;"Ready",NOT(ISNUMBER(U24))),"Not supplied",U24/G24))</x:f>
      </x:c>
      <x:c r="W24" s="25" t="str">
        <x:f>IF(Q24="","",IF(NOT(ISNUMBER(V24)),"Not supplied",IF(V24=0,"n.a.",S24/V24)))</x:f>
      </x:c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</x:row>
    <x:row r="25" ht="23" customHeight="1">
      <x:c r="A25" s="15"/>
      <x:c r="B25" s="7"/>
      <x:c r="C25" s="7"/>
      <x:c r="D25" s="7"/>
      <x:c r="E25" s="15"/>
      <x:c r="F25" s="7"/>
      <x:c r="G25" s="7"/>
      <x:c r="H25" s="7"/>
      <x:c r="I25" s="9"/>
      <x:c r="J25" s="9"/>
      <x:c r="K25" s="9"/>
      <x:c r="L25" s="9"/>
      <x:c r="M25" s="9"/>
      <x:c r="N25" s="9"/>
      <x:c r="O25" s="9"/>
      <x:c r="P25" s="7"/>
      <x:c r="Q25" s="12" t="str">
        <x:f>IF(A25="","",IF(OR(B25="",C25="",COUNT(D25:E25)&lt;&gt;2,F25&lt;&gt;"Yes",COUNT(G25:O25)&lt;&gt;9,P25=""),"Missing input",IF(E25-A25&lt;D25,"Not mature",IF(OR(G25=0,H25&gt;G25),"Invalid counts",IF(COUNTIFS($A$6:$A$65,A25,$B$6:$B$65,B25,$C$6:$C$65,C25,$D$6:$D$65,D25)&gt;1,"Duplicate key","Ready")))))</x:f>
      </x:c>
      <x:c r="R25" s="13" t="str">
        <x:f>IF(Q25="","",IF(Q25&lt;&gt;"Ready","n.a.",I25+J25-SUM(K25:O25)))</x:f>
      </x:c>
      <x:c r="S25" s="13" t="str">
        <x:f>IF(Q25="","",IF(Q25&lt;&gt;"Ready","n.a.",R25/G25))</x:f>
      </x:c>
      <x:c r="T25" s="14" t="str">
        <x:f>IF(Q25="","",IF(Q25&lt;&gt;"Ready","n.a.",H25/G25))</x:f>
      </x:c>
      <x:c r="U25" s="9"/>
      <x:c r="V25" s="13" t="str">
        <x:f>IF(Q25="","",IF(OR(Q25&lt;&gt;"Ready",NOT(ISNUMBER(U25))),"Not supplied",U25/G25))</x:f>
      </x:c>
      <x:c r="W25" s="25" t="str">
        <x:f>IF(Q25="","",IF(NOT(ISNUMBER(V25)),"Not supplied",IF(V25=0,"n.a.",S25/V25)))</x:f>
      </x:c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</x:row>
    <x:row r="26" ht="23" customHeight="1">
      <x:c r="A26" s="15"/>
      <x:c r="B26" s="7"/>
      <x:c r="C26" s="7"/>
      <x:c r="D26" s="7"/>
      <x:c r="E26" s="15"/>
      <x:c r="F26" s="7"/>
      <x:c r="G26" s="7"/>
      <x:c r="H26" s="7"/>
      <x:c r="I26" s="9"/>
      <x:c r="J26" s="9"/>
      <x:c r="K26" s="9"/>
      <x:c r="L26" s="9"/>
      <x:c r="M26" s="9"/>
      <x:c r="N26" s="9"/>
      <x:c r="O26" s="9"/>
      <x:c r="P26" s="7"/>
      <x:c r="Q26" s="12" t="str">
        <x:f>IF(A26="","",IF(OR(B26="",C26="",COUNT(D26:E26)&lt;&gt;2,F26&lt;&gt;"Yes",COUNT(G26:O26)&lt;&gt;9,P26=""),"Missing input",IF(E26-A26&lt;D26,"Not mature",IF(OR(G26=0,H26&gt;G26),"Invalid counts",IF(COUNTIFS($A$6:$A$65,A26,$B$6:$B$65,B26,$C$6:$C$65,C26,$D$6:$D$65,D26)&gt;1,"Duplicate key","Ready")))))</x:f>
      </x:c>
      <x:c r="R26" s="13" t="str">
        <x:f>IF(Q26="","",IF(Q26&lt;&gt;"Ready","n.a.",I26+J26-SUM(K26:O26)))</x:f>
      </x:c>
      <x:c r="S26" s="13" t="str">
        <x:f>IF(Q26="","",IF(Q26&lt;&gt;"Ready","n.a.",R26/G26))</x:f>
      </x:c>
      <x:c r="T26" s="14" t="str">
        <x:f>IF(Q26="","",IF(Q26&lt;&gt;"Ready","n.a.",H26/G26))</x:f>
      </x:c>
      <x:c r="U26" s="9"/>
      <x:c r="V26" s="13" t="str">
        <x:f>IF(Q26="","",IF(OR(Q26&lt;&gt;"Ready",NOT(ISNUMBER(U26))),"Not supplied",U26/G26))</x:f>
      </x:c>
      <x:c r="W26" s="25" t="str">
        <x:f>IF(Q26="","",IF(NOT(ISNUMBER(V26)),"Not supplied",IF(V26=0,"n.a.",S26/V26)))</x:f>
      </x:c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</x:row>
    <x:row r="27" ht="23" customHeight="1">
      <x:c r="A27" s="15"/>
      <x:c r="B27" s="7"/>
      <x:c r="C27" s="7"/>
      <x:c r="D27" s="7"/>
      <x:c r="E27" s="15"/>
      <x:c r="F27" s="7"/>
      <x:c r="G27" s="7"/>
      <x:c r="H27" s="7"/>
      <x:c r="I27" s="9"/>
      <x:c r="J27" s="9"/>
      <x:c r="K27" s="9"/>
      <x:c r="L27" s="9"/>
      <x:c r="M27" s="9"/>
      <x:c r="N27" s="9"/>
      <x:c r="O27" s="9"/>
      <x:c r="P27" s="7"/>
      <x:c r="Q27" s="12" t="str">
        <x:f>IF(A27="","",IF(OR(B27="",C27="",COUNT(D27:E27)&lt;&gt;2,F27&lt;&gt;"Yes",COUNT(G27:O27)&lt;&gt;9,P27=""),"Missing input",IF(E27-A27&lt;D27,"Not mature",IF(OR(G27=0,H27&gt;G27),"Invalid counts",IF(COUNTIFS($A$6:$A$65,A27,$B$6:$B$65,B27,$C$6:$C$65,C27,$D$6:$D$65,D27)&gt;1,"Duplicate key","Ready")))))</x:f>
      </x:c>
      <x:c r="R27" s="13" t="str">
        <x:f>IF(Q27="","",IF(Q27&lt;&gt;"Ready","n.a.",I27+J27-SUM(K27:O27)))</x:f>
      </x:c>
      <x:c r="S27" s="13" t="str">
        <x:f>IF(Q27="","",IF(Q27&lt;&gt;"Ready","n.a.",R27/G27))</x:f>
      </x:c>
      <x:c r="T27" s="14" t="str">
        <x:f>IF(Q27="","",IF(Q27&lt;&gt;"Ready","n.a.",H27/G27))</x:f>
      </x:c>
      <x:c r="U27" s="9"/>
      <x:c r="V27" s="13" t="str">
        <x:f>IF(Q27="","",IF(OR(Q27&lt;&gt;"Ready",NOT(ISNUMBER(U27))),"Not supplied",U27/G27))</x:f>
      </x:c>
      <x:c r="W27" s="25" t="str">
        <x:f>IF(Q27="","",IF(NOT(ISNUMBER(V27)),"Not supplied",IF(V27=0,"n.a.",S27/V27)))</x:f>
      </x:c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</x:row>
    <x:row r="28" ht="23" customHeight="1">
      <x:c r="A28" s="15"/>
      <x:c r="B28" s="7"/>
      <x:c r="C28" s="7"/>
      <x:c r="D28" s="7"/>
      <x:c r="E28" s="15"/>
      <x:c r="F28" s="7"/>
      <x:c r="G28" s="7"/>
      <x:c r="H28" s="7"/>
      <x:c r="I28" s="9"/>
      <x:c r="J28" s="9"/>
      <x:c r="K28" s="9"/>
      <x:c r="L28" s="9"/>
      <x:c r="M28" s="9"/>
      <x:c r="N28" s="9"/>
      <x:c r="O28" s="9"/>
      <x:c r="P28" s="7"/>
      <x:c r="Q28" s="12" t="str">
        <x:f>IF(A28="","",IF(OR(B28="",C28="",COUNT(D28:E28)&lt;&gt;2,F28&lt;&gt;"Yes",COUNT(G28:O28)&lt;&gt;9,P28=""),"Missing input",IF(E28-A28&lt;D28,"Not mature",IF(OR(G28=0,H28&gt;G28),"Invalid counts",IF(COUNTIFS($A$6:$A$65,A28,$B$6:$B$65,B28,$C$6:$C$65,C28,$D$6:$D$65,D28)&gt;1,"Duplicate key","Ready")))))</x:f>
      </x:c>
      <x:c r="R28" s="13" t="str">
        <x:f>IF(Q28="","",IF(Q28&lt;&gt;"Ready","n.a.",I28+J28-SUM(K28:O28)))</x:f>
      </x:c>
      <x:c r="S28" s="13" t="str">
        <x:f>IF(Q28="","",IF(Q28&lt;&gt;"Ready","n.a.",R28/G28))</x:f>
      </x:c>
      <x:c r="T28" s="14" t="str">
        <x:f>IF(Q28="","",IF(Q28&lt;&gt;"Ready","n.a.",H28/G28))</x:f>
      </x:c>
      <x:c r="U28" s="9"/>
      <x:c r="V28" s="13" t="str">
        <x:f>IF(Q28="","",IF(OR(Q28&lt;&gt;"Ready",NOT(ISNUMBER(U28))),"Not supplied",U28/G28))</x:f>
      </x:c>
      <x:c r="W28" s="25" t="str">
        <x:f>IF(Q28="","",IF(NOT(ISNUMBER(V28)),"Not supplied",IF(V28=0,"n.a.",S28/V28)))</x:f>
      </x:c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</x:row>
    <x:row r="29" ht="23" customHeight="1">
      <x:c r="A29" s="15"/>
      <x:c r="B29" s="7"/>
      <x:c r="C29" s="7"/>
      <x:c r="D29" s="7"/>
      <x:c r="E29" s="15"/>
      <x:c r="F29" s="7"/>
      <x:c r="G29" s="7"/>
      <x:c r="H29" s="7"/>
      <x:c r="I29" s="9"/>
      <x:c r="J29" s="9"/>
      <x:c r="K29" s="9"/>
      <x:c r="L29" s="9"/>
      <x:c r="M29" s="9"/>
      <x:c r="N29" s="9"/>
      <x:c r="O29" s="9"/>
      <x:c r="P29" s="7"/>
      <x:c r="Q29" s="12" t="str">
        <x:f>IF(A29="","",IF(OR(B29="",C29="",COUNT(D29:E29)&lt;&gt;2,F29&lt;&gt;"Yes",COUNT(G29:O29)&lt;&gt;9,P29=""),"Missing input",IF(E29-A29&lt;D29,"Not mature",IF(OR(G29=0,H29&gt;G29),"Invalid counts",IF(COUNTIFS($A$6:$A$65,A29,$B$6:$B$65,B29,$C$6:$C$65,C29,$D$6:$D$65,D29)&gt;1,"Duplicate key","Ready")))))</x:f>
      </x:c>
      <x:c r="R29" s="13" t="str">
        <x:f>IF(Q29="","",IF(Q29&lt;&gt;"Ready","n.a.",I29+J29-SUM(K29:O29)))</x:f>
      </x:c>
      <x:c r="S29" s="13" t="str">
        <x:f>IF(Q29="","",IF(Q29&lt;&gt;"Ready","n.a.",R29/G29))</x:f>
      </x:c>
      <x:c r="T29" s="14" t="str">
        <x:f>IF(Q29="","",IF(Q29&lt;&gt;"Ready","n.a.",H29/G29))</x:f>
      </x:c>
      <x:c r="U29" s="9"/>
      <x:c r="V29" s="13" t="str">
        <x:f>IF(Q29="","",IF(OR(Q29&lt;&gt;"Ready",NOT(ISNUMBER(U29))),"Not supplied",U29/G29))</x:f>
      </x:c>
      <x:c r="W29" s="25" t="str">
        <x:f>IF(Q29="","",IF(NOT(ISNUMBER(V29)),"Not supplied",IF(V29=0,"n.a.",S29/V29)))</x:f>
      </x:c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</x:row>
    <x:row r="30" ht="23" customHeight="1">
      <x:c r="A30" s="15"/>
      <x:c r="B30" s="7"/>
      <x:c r="C30" s="7"/>
      <x:c r="D30" s="7"/>
      <x:c r="E30" s="15"/>
      <x:c r="F30" s="7"/>
      <x:c r="G30" s="7"/>
      <x:c r="H30" s="7"/>
      <x:c r="I30" s="9"/>
      <x:c r="J30" s="9"/>
      <x:c r="K30" s="9"/>
      <x:c r="L30" s="9"/>
      <x:c r="M30" s="9"/>
      <x:c r="N30" s="9"/>
      <x:c r="O30" s="9"/>
      <x:c r="P30" s="7"/>
      <x:c r="Q30" s="12" t="str">
        <x:f>IF(A30="","",IF(OR(B30="",C30="",COUNT(D30:E30)&lt;&gt;2,F30&lt;&gt;"Yes",COUNT(G30:O30)&lt;&gt;9,P30=""),"Missing input",IF(E30-A30&lt;D30,"Not mature",IF(OR(G30=0,H30&gt;G30),"Invalid counts",IF(COUNTIFS($A$6:$A$65,A30,$B$6:$B$65,B30,$C$6:$C$65,C30,$D$6:$D$65,D30)&gt;1,"Duplicate key","Ready")))))</x:f>
      </x:c>
      <x:c r="R30" s="13" t="str">
        <x:f>IF(Q30="","",IF(Q30&lt;&gt;"Ready","n.a.",I30+J30-SUM(K30:O30)))</x:f>
      </x:c>
      <x:c r="S30" s="13" t="str">
        <x:f>IF(Q30="","",IF(Q30&lt;&gt;"Ready","n.a.",R30/G30))</x:f>
      </x:c>
      <x:c r="T30" s="14" t="str">
        <x:f>IF(Q30="","",IF(Q30&lt;&gt;"Ready","n.a.",H30/G30))</x:f>
      </x:c>
      <x:c r="U30" s="9"/>
      <x:c r="V30" s="13" t="str">
        <x:f>IF(Q30="","",IF(OR(Q30&lt;&gt;"Ready",NOT(ISNUMBER(U30))),"Not supplied",U30/G30))</x:f>
      </x:c>
      <x:c r="W30" s="25" t="str">
        <x:f>IF(Q30="","",IF(NOT(ISNUMBER(V30)),"Not supplied",IF(V30=0,"n.a.",S30/V30)))</x:f>
      </x:c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</x:row>
    <x:row r="31" ht="23" customHeight="1">
      <x:c r="A31" s="15"/>
      <x:c r="B31" s="7"/>
      <x:c r="C31" s="7"/>
      <x:c r="D31" s="7"/>
      <x:c r="E31" s="15"/>
      <x:c r="F31" s="7"/>
      <x:c r="G31" s="7"/>
      <x:c r="H31" s="7"/>
      <x:c r="I31" s="9"/>
      <x:c r="J31" s="9"/>
      <x:c r="K31" s="9"/>
      <x:c r="L31" s="9"/>
      <x:c r="M31" s="9"/>
      <x:c r="N31" s="9"/>
      <x:c r="O31" s="9"/>
      <x:c r="P31" s="7"/>
      <x:c r="Q31" s="12" t="str">
        <x:f>IF(A31="","",IF(OR(B31="",C31="",COUNT(D31:E31)&lt;&gt;2,F31&lt;&gt;"Yes",COUNT(G31:O31)&lt;&gt;9,P31=""),"Missing input",IF(E31-A31&lt;D31,"Not mature",IF(OR(G31=0,H31&gt;G31),"Invalid counts",IF(COUNTIFS($A$6:$A$65,A31,$B$6:$B$65,B31,$C$6:$C$65,C31,$D$6:$D$65,D31)&gt;1,"Duplicate key","Ready")))))</x:f>
      </x:c>
      <x:c r="R31" s="13" t="str">
        <x:f>IF(Q31="","",IF(Q31&lt;&gt;"Ready","n.a.",I31+J31-SUM(K31:O31)))</x:f>
      </x:c>
      <x:c r="S31" s="13" t="str">
        <x:f>IF(Q31="","",IF(Q31&lt;&gt;"Ready","n.a.",R31/G31))</x:f>
      </x:c>
      <x:c r="T31" s="14" t="str">
        <x:f>IF(Q31="","",IF(Q31&lt;&gt;"Ready","n.a.",H31/G31))</x:f>
      </x:c>
      <x:c r="U31" s="9"/>
      <x:c r="V31" s="13" t="str">
        <x:f>IF(Q31="","",IF(OR(Q31&lt;&gt;"Ready",NOT(ISNUMBER(U31))),"Not supplied",U31/G31))</x:f>
      </x:c>
      <x:c r="W31" s="25" t="str">
        <x:f>IF(Q31="","",IF(NOT(ISNUMBER(V31)),"Not supplied",IF(V31=0,"n.a.",S31/V31)))</x:f>
      </x:c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</x:row>
    <x:row r="32" ht="23" customHeight="1">
      <x:c r="A32" s="15"/>
      <x:c r="B32" s="7"/>
      <x:c r="C32" s="7"/>
      <x:c r="D32" s="7"/>
      <x:c r="E32" s="15"/>
      <x:c r="F32" s="7"/>
      <x:c r="G32" s="7"/>
      <x:c r="H32" s="7"/>
      <x:c r="I32" s="9"/>
      <x:c r="J32" s="9"/>
      <x:c r="K32" s="9"/>
      <x:c r="L32" s="9"/>
      <x:c r="M32" s="9"/>
      <x:c r="N32" s="9"/>
      <x:c r="O32" s="9"/>
      <x:c r="P32" s="7"/>
      <x:c r="Q32" s="12" t="str">
        <x:f>IF(A32="","",IF(OR(B32="",C32="",COUNT(D32:E32)&lt;&gt;2,F32&lt;&gt;"Yes",COUNT(G32:O32)&lt;&gt;9,P32=""),"Missing input",IF(E32-A32&lt;D32,"Not mature",IF(OR(G32=0,H32&gt;G32),"Invalid counts",IF(COUNTIFS($A$6:$A$65,A32,$B$6:$B$65,B32,$C$6:$C$65,C32,$D$6:$D$65,D32)&gt;1,"Duplicate key","Ready")))))</x:f>
      </x:c>
      <x:c r="R32" s="13" t="str">
        <x:f>IF(Q32="","",IF(Q32&lt;&gt;"Ready","n.a.",I32+J32-SUM(K32:O32)))</x:f>
      </x:c>
      <x:c r="S32" s="13" t="str">
        <x:f>IF(Q32="","",IF(Q32&lt;&gt;"Ready","n.a.",R32/G32))</x:f>
      </x:c>
      <x:c r="T32" s="14" t="str">
        <x:f>IF(Q32="","",IF(Q32&lt;&gt;"Ready","n.a.",H32/G32))</x:f>
      </x:c>
      <x:c r="U32" s="9"/>
      <x:c r="V32" s="13" t="str">
        <x:f>IF(Q32="","",IF(OR(Q32&lt;&gt;"Ready",NOT(ISNUMBER(U32))),"Not supplied",U32/G32))</x:f>
      </x:c>
      <x:c r="W32" s="25" t="str">
        <x:f>IF(Q32="","",IF(NOT(ISNUMBER(V32)),"Not supplied",IF(V32=0,"n.a.",S32/V32)))</x:f>
      </x:c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</x:row>
    <x:row r="33" ht="23" customHeight="1">
      <x:c r="A33" s="15"/>
      <x:c r="B33" s="7"/>
      <x:c r="C33" s="7"/>
      <x:c r="D33" s="7"/>
      <x:c r="E33" s="15"/>
      <x:c r="F33" s="7"/>
      <x:c r="G33" s="7"/>
      <x:c r="H33" s="7"/>
      <x:c r="I33" s="9"/>
      <x:c r="J33" s="9"/>
      <x:c r="K33" s="9"/>
      <x:c r="L33" s="9"/>
      <x:c r="M33" s="9"/>
      <x:c r="N33" s="9"/>
      <x:c r="O33" s="9"/>
      <x:c r="P33" s="7"/>
      <x:c r="Q33" s="12" t="str">
        <x:f>IF(A33="","",IF(OR(B33="",C33="",COUNT(D33:E33)&lt;&gt;2,F33&lt;&gt;"Yes",COUNT(G33:O33)&lt;&gt;9,P33=""),"Missing input",IF(E33-A33&lt;D33,"Not mature",IF(OR(G33=0,H33&gt;G33),"Invalid counts",IF(COUNTIFS($A$6:$A$65,A33,$B$6:$B$65,B33,$C$6:$C$65,C33,$D$6:$D$65,D33)&gt;1,"Duplicate key","Ready")))))</x:f>
      </x:c>
      <x:c r="R33" s="13" t="str">
        <x:f>IF(Q33="","",IF(Q33&lt;&gt;"Ready","n.a.",I33+J33-SUM(K33:O33)))</x:f>
      </x:c>
      <x:c r="S33" s="13" t="str">
        <x:f>IF(Q33="","",IF(Q33&lt;&gt;"Ready","n.a.",R33/G33))</x:f>
      </x:c>
      <x:c r="T33" s="14" t="str">
        <x:f>IF(Q33="","",IF(Q33&lt;&gt;"Ready","n.a.",H33/G33))</x:f>
      </x:c>
      <x:c r="U33" s="9"/>
      <x:c r="V33" s="13" t="str">
        <x:f>IF(Q33="","",IF(OR(Q33&lt;&gt;"Ready",NOT(ISNUMBER(U33))),"Not supplied",U33/G33))</x:f>
      </x:c>
      <x:c r="W33" s="25" t="str">
        <x:f>IF(Q33="","",IF(NOT(ISNUMBER(V33)),"Not supplied",IF(V33=0,"n.a.",S33/V33)))</x:f>
      </x:c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</x:row>
    <x:row r="34" ht="23" customHeight="1">
      <x:c r="A34" s="15"/>
      <x:c r="B34" s="7"/>
      <x:c r="C34" s="7"/>
      <x:c r="D34" s="7"/>
      <x:c r="E34" s="15"/>
      <x:c r="F34" s="7"/>
      <x:c r="G34" s="7"/>
      <x:c r="H34" s="7"/>
      <x:c r="I34" s="9"/>
      <x:c r="J34" s="9"/>
      <x:c r="K34" s="9"/>
      <x:c r="L34" s="9"/>
      <x:c r="M34" s="9"/>
      <x:c r="N34" s="9"/>
      <x:c r="O34" s="9"/>
      <x:c r="P34" s="7"/>
      <x:c r="Q34" s="12" t="str">
        <x:f>IF(A34="","",IF(OR(B34="",C34="",COUNT(D34:E34)&lt;&gt;2,F34&lt;&gt;"Yes",COUNT(G34:O34)&lt;&gt;9,P34=""),"Missing input",IF(E34-A34&lt;D34,"Not mature",IF(OR(G34=0,H34&gt;G34),"Invalid counts",IF(COUNTIFS($A$6:$A$65,A34,$B$6:$B$65,B34,$C$6:$C$65,C34,$D$6:$D$65,D34)&gt;1,"Duplicate key","Ready")))))</x:f>
      </x:c>
      <x:c r="R34" s="13" t="str">
        <x:f>IF(Q34="","",IF(Q34&lt;&gt;"Ready","n.a.",I34+J34-SUM(K34:O34)))</x:f>
      </x:c>
      <x:c r="S34" s="13" t="str">
        <x:f>IF(Q34="","",IF(Q34&lt;&gt;"Ready","n.a.",R34/G34))</x:f>
      </x:c>
      <x:c r="T34" s="14" t="str">
        <x:f>IF(Q34="","",IF(Q34&lt;&gt;"Ready","n.a.",H34/G34))</x:f>
      </x:c>
      <x:c r="U34" s="9"/>
      <x:c r="V34" s="13" t="str">
        <x:f>IF(Q34="","",IF(OR(Q34&lt;&gt;"Ready",NOT(ISNUMBER(U34))),"Not supplied",U34/G34))</x:f>
      </x:c>
      <x:c r="W34" s="25" t="str">
        <x:f>IF(Q34="","",IF(NOT(ISNUMBER(V34)),"Not supplied",IF(V34=0,"n.a.",S34/V34)))</x:f>
      </x:c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</x:row>
    <x:row r="35" ht="23" customHeight="1">
      <x:c r="A35" s="15"/>
      <x:c r="B35" s="7"/>
      <x:c r="C35" s="7"/>
      <x:c r="D35" s="7"/>
      <x:c r="E35" s="15"/>
      <x:c r="F35" s="7"/>
      <x:c r="G35" s="7"/>
      <x:c r="H35" s="7"/>
      <x:c r="I35" s="9"/>
      <x:c r="J35" s="9"/>
      <x:c r="K35" s="9"/>
      <x:c r="L35" s="9"/>
      <x:c r="M35" s="9"/>
      <x:c r="N35" s="9"/>
      <x:c r="O35" s="9"/>
      <x:c r="P35" s="7"/>
      <x:c r="Q35" s="12" t="str">
        <x:f>IF(A35="","",IF(OR(B35="",C35="",COUNT(D35:E35)&lt;&gt;2,F35&lt;&gt;"Yes",COUNT(G35:O35)&lt;&gt;9,P35=""),"Missing input",IF(E35-A35&lt;D35,"Not mature",IF(OR(G35=0,H35&gt;G35),"Invalid counts",IF(COUNTIFS($A$6:$A$65,A35,$B$6:$B$65,B35,$C$6:$C$65,C35,$D$6:$D$65,D35)&gt;1,"Duplicate key","Ready")))))</x:f>
      </x:c>
      <x:c r="R35" s="13" t="str">
        <x:f>IF(Q35="","",IF(Q35&lt;&gt;"Ready","n.a.",I35+J35-SUM(K35:O35)))</x:f>
      </x:c>
      <x:c r="S35" s="13" t="str">
        <x:f>IF(Q35="","",IF(Q35&lt;&gt;"Ready","n.a.",R35/G35))</x:f>
      </x:c>
      <x:c r="T35" s="14" t="str">
        <x:f>IF(Q35="","",IF(Q35&lt;&gt;"Ready","n.a.",H35/G35))</x:f>
      </x:c>
      <x:c r="U35" s="9"/>
      <x:c r="V35" s="13" t="str">
        <x:f>IF(Q35="","",IF(OR(Q35&lt;&gt;"Ready",NOT(ISNUMBER(U35))),"Not supplied",U35/G35))</x:f>
      </x:c>
      <x:c r="W35" s="25" t="str">
        <x:f>IF(Q35="","",IF(NOT(ISNUMBER(V35)),"Not supplied",IF(V35=0,"n.a.",S35/V35)))</x:f>
      </x:c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</x:row>
    <x:row r="36" ht="23" customHeight="1">
      <x:c r="A36" s="15"/>
      <x:c r="B36" s="7"/>
      <x:c r="C36" s="7"/>
      <x:c r="D36" s="7"/>
      <x:c r="E36" s="15"/>
      <x:c r="F36" s="7"/>
      <x:c r="G36" s="7"/>
      <x:c r="H36" s="7"/>
      <x:c r="I36" s="9"/>
      <x:c r="J36" s="9"/>
      <x:c r="K36" s="9"/>
      <x:c r="L36" s="9"/>
      <x:c r="M36" s="9"/>
      <x:c r="N36" s="9"/>
      <x:c r="O36" s="9"/>
      <x:c r="P36" s="7"/>
      <x:c r="Q36" s="12" t="str">
        <x:f>IF(A36="","",IF(OR(B36="",C36="",COUNT(D36:E36)&lt;&gt;2,F36&lt;&gt;"Yes",COUNT(G36:O36)&lt;&gt;9,P36=""),"Missing input",IF(E36-A36&lt;D36,"Not mature",IF(OR(G36=0,H36&gt;G36),"Invalid counts",IF(COUNTIFS($A$6:$A$65,A36,$B$6:$B$65,B36,$C$6:$C$65,C36,$D$6:$D$65,D36)&gt;1,"Duplicate key","Ready")))))</x:f>
      </x:c>
      <x:c r="R36" s="13" t="str">
        <x:f>IF(Q36="","",IF(Q36&lt;&gt;"Ready","n.a.",I36+J36-SUM(K36:O36)))</x:f>
      </x:c>
      <x:c r="S36" s="13" t="str">
        <x:f>IF(Q36="","",IF(Q36&lt;&gt;"Ready","n.a.",R36/G36))</x:f>
      </x:c>
      <x:c r="T36" s="14" t="str">
        <x:f>IF(Q36="","",IF(Q36&lt;&gt;"Ready","n.a.",H36/G36))</x:f>
      </x:c>
      <x:c r="U36" s="9"/>
      <x:c r="V36" s="13" t="str">
        <x:f>IF(Q36="","",IF(OR(Q36&lt;&gt;"Ready",NOT(ISNUMBER(U36))),"Not supplied",U36/G36))</x:f>
      </x:c>
      <x:c r="W36" s="25" t="str">
        <x:f>IF(Q36="","",IF(NOT(ISNUMBER(V36)),"Not supplied",IF(V36=0,"n.a.",S36/V36)))</x:f>
      </x:c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</x:row>
    <x:row r="37" ht="23" customHeight="1">
      <x:c r="A37" s="15"/>
      <x:c r="B37" s="7"/>
      <x:c r="C37" s="7"/>
      <x:c r="D37" s="7"/>
      <x:c r="E37" s="15"/>
      <x:c r="F37" s="7"/>
      <x:c r="G37" s="7"/>
      <x:c r="H37" s="7"/>
      <x:c r="I37" s="9"/>
      <x:c r="J37" s="9"/>
      <x:c r="K37" s="9"/>
      <x:c r="L37" s="9"/>
      <x:c r="M37" s="9"/>
      <x:c r="N37" s="9"/>
      <x:c r="O37" s="9"/>
      <x:c r="P37" s="7"/>
      <x:c r="Q37" s="12" t="str">
        <x:f>IF(A37="","",IF(OR(B37="",C37="",COUNT(D37:E37)&lt;&gt;2,F37&lt;&gt;"Yes",COUNT(G37:O37)&lt;&gt;9,P37=""),"Missing input",IF(E37-A37&lt;D37,"Not mature",IF(OR(G37=0,H37&gt;G37),"Invalid counts",IF(COUNTIFS($A$6:$A$65,A37,$B$6:$B$65,B37,$C$6:$C$65,C37,$D$6:$D$65,D37)&gt;1,"Duplicate key","Ready")))))</x:f>
      </x:c>
      <x:c r="R37" s="13" t="str">
        <x:f>IF(Q37="","",IF(Q37&lt;&gt;"Ready","n.a.",I37+J37-SUM(K37:O37)))</x:f>
      </x:c>
      <x:c r="S37" s="13" t="str">
        <x:f>IF(Q37="","",IF(Q37&lt;&gt;"Ready","n.a.",R37/G37))</x:f>
      </x:c>
      <x:c r="T37" s="14" t="str">
        <x:f>IF(Q37="","",IF(Q37&lt;&gt;"Ready","n.a.",H37/G37))</x:f>
      </x:c>
      <x:c r="U37" s="9"/>
      <x:c r="V37" s="13" t="str">
        <x:f>IF(Q37="","",IF(OR(Q37&lt;&gt;"Ready",NOT(ISNUMBER(U37))),"Not supplied",U37/G37))</x:f>
      </x:c>
      <x:c r="W37" s="25" t="str">
        <x:f>IF(Q37="","",IF(NOT(ISNUMBER(V37)),"Not supplied",IF(V37=0,"n.a.",S37/V37)))</x:f>
      </x:c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</x:row>
    <x:row r="38" ht="23" customHeight="1">
      <x:c r="A38" s="15"/>
      <x:c r="B38" s="7"/>
      <x:c r="C38" s="7"/>
      <x:c r="D38" s="7"/>
      <x:c r="E38" s="15"/>
      <x:c r="F38" s="7"/>
      <x:c r="G38" s="7"/>
      <x:c r="H38" s="7"/>
      <x:c r="I38" s="9"/>
      <x:c r="J38" s="9"/>
      <x:c r="K38" s="9"/>
      <x:c r="L38" s="9"/>
      <x:c r="M38" s="9"/>
      <x:c r="N38" s="9"/>
      <x:c r="O38" s="9"/>
      <x:c r="P38" s="7"/>
      <x:c r="Q38" s="12" t="str">
        <x:f>IF(A38="","",IF(OR(B38="",C38="",COUNT(D38:E38)&lt;&gt;2,F38&lt;&gt;"Yes",COUNT(G38:O38)&lt;&gt;9,P38=""),"Missing input",IF(E38-A38&lt;D38,"Not mature",IF(OR(G38=0,H38&gt;G38),"Invalid counts",IF(COUNTIFS($A$6:$A$65,A38,$B$6:$B$65,B38,$C$6:$C$65,C38,$D$6:$D$65,D38)&gt;1,"Duplicate key","Ready")))))</x:f>
      </x:c>
      <x:c r="R38" s="13" t="str">
        <x:f>IF(Q38="","",IF(Q38&lt;&gt;"Ready","n.a.",I38+J38-SUM(K38:O38)))</x:f>
      </x:c>
      <x:c r="S38" s="13" t="str">
        <x:f>IF(Q38="","",IF(Q38&lt;&gt;"Ready","n.a.",R38/G38))</x:f>
      </x:c>
      <x:c r="T38" s="14" t="str">
        <x:f>IF(Q38="","",IF(Q38&lt;&gt;"Ready","n.a.",H38/G38))</x:f>
      </x:c>
      <x:c r="U38" s="9"/>
      <x:c r="V38" s="13" t="str">
        <x:f>IF(Q38="","",IF(OR(Q38&lt;&gt;"Ready",NOT(ISNUMBER(U38))),"Not supplied",U38/G38))</x:f>
      </x:c>
      <x:c r="W38" s="25" t="str">
        <x:f>IF(Q38="","",IF(NOT(ISNUMBER(V38)),"Not supplied",IF(V38=0,"n.a.",S38/V38)))</x:f>
      </x:c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</x:row>
    <x:row r="39" ht="23" customHeight="1">
      <x:c r="A39" s="15"/>
      <x:c r="B39" s="7"/>
      <x:c r="C39" s="7"/>
      <x:c r="D39" s="7"/>
      <x:c r="E39" s="15"/>
      <x:c r="F39" s="7"/>
      <x:c r="G39" s="7"/>
      <x:c r="H39" s="7"/>
      <x:c r="I39" s="9"/>
      <x:c r="J39" s="9"/>
      <x:c r="K39" s="9"/>
      <x:c r="L39" s="9"/>
      <x:c r="M39" s="9"/>
      <x:c r="N39" s="9"/>
      <x:c r="O39" s="9"/>
      <x:c r="P39" s="7"/>
      <x:c r="Q39" s="12" t="str">
        <x:f>IF(A39="","",IF(OR(B39="",C39="",COUNT(D39:E39)&lt;&gt;2,F39&lt;&gt;"Yes",COUNT(G39:O39)&lt;&gt;9,P39=""),"Missing input",IF(E39-A39&lt;D39,"Not mature",IF(OR(G39=0,H39&gt;G39),"Invalid counts",IF(COUNTIFS($A$6:$A$65,A39,$B$6:$B$65,B39,$C$6:$C$65,C39,$D$6:$D$65,D39)&gt;1,"Duplicate key","Ready")))))</x:f>
      </x:c>
      <x:c r="R39" s="13" t="str">
        <x:f>IF(Q39="","",IF(Q39&lt;&gt;"Ready","n.a.",I39+J39-SUM(K39:O39)))</x:f>
      </x:c>
      <x:c r="S39" s="13" t="str">
        <x:f>IF(Q39="","",IF(Q39&lt;&gt;"Ready","n.a.",R39/G39))</x:f>
      </x:c>
      <x:c r="T39" s="14" t="str">
        <x:f>IF(Q39="","",IF(Q39&lt;&gt;"Ready","n.a.",H39/G39))</x:f>
      </x:c>
      <x:c r="U39" s="9"/>
      <x:c r="V39" s="13" t="str">
        <x:f>IF(Q39="","",IF(OR(Q39&lt;&gt;"Ready",NOT(ISNUMBER(U39))),"Not supplied",U39/G39))</x:f>
      </x:c>
      <x:c r="W39" s="25" t="str">
        <x:f>IF(Q39="","",IF(NOT(ISNUMBER(V39)),"Not supplied",IF(V39=0,"n.a.",S39/V39)))</x:f>
      </x:c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</x:row>
    <x:row r="40" ht="23" customHeight="1">
      <x:c r="A40" s="15"/>
      <x:c r="B40" s="7"/>
      <x:c r="C40" s="7"/>
      <x:c r="D40" s="7"/>
      <x:c r="E40" s="15"/>
      <x:c r="F40" s="7"/>
      <x:c r="G40" s="7"/>
      <x:c r="H40" s="7"/>
      <x:c r="I40" s="9"/>
      <x:c r="J40" s="9"/>
      <x:c r="K40" s="9"/>
      <x:c r="L40" s="9"/>
      <x:c r="M40" s="9"/>
      <x:c r="N40" s="9"/>
      <x:c r="O40" s="9"/>
      <x:c r="P40" s="7"/>
      <x:c r="Q40" s="12" t="str">
        <x:f>IF(A40="","",IF(OR(B40="",C40="",COUNT(D40:E40)&lt;&gt;2,F40&lt;&gt;"Yes",COUNT(G40:O40)&lt;&gt;9,P40=""),"Missing input",IF(E40-A40&lt;D40,"Not mature",IF(OR(G40=0,H40&gt;G40),"Invalid counts",IF(COUNTIFS($A$6:$A$65,A40,$B$6:$B$65,B40,$C$6:$C$65,C40,$D$6:$D$65,D40)&gt;1,"Duplicate key","Ready")))))</x:f>
      </x:c>
      <x:c r="R40" s="13" t="str">
        <x:f>IF(Q40="","",IF(Q40&lt;&gt;"Ready","n.a.",I40+J40-SUM(K40:O40)))</x:f>
      </x:c>
      <x:c r="S40" s="13" t="str">
        <x:f>IF(Q40="","",IF(Q40&lt;&gt;"Ready","n.a.",R40/G40))</x:f>
      </x:c>
      <x:c r="T40" s="14" t="str">
        <x:f>IF(Q40="","",IF(Q40&lt;&gt;"Ready","n.a.",H40/G40))</x:f>
      </x:c>
      <x:c r="U40" s="9"/>
      <x:c r="V40" s="13" t="str">
        <x:f>IF(Q40="","",IF(OR(Q40&lt;&gt;"Ready",NOT(ISNUMBER(U40))),"Not supplied",U40/G40))</x:f>
      </x:c>
      <x:c r="W40" s="25" t="str">
        <x:f>IF(Q40="","",IF(NOT(ISNUMBER(V40)),"Not supplied",IF(V40=0,"n.a.",S40/V40)))</x:f>
      </x:c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</x:row>
    <x:row r="41" ht="23" customHeight="1">
      <x:c r="A41" s="15"/>
      <x:c r="B41" s="7"/>
      <x:c r="C41" s="7"/>
      <x:c r="D41" s="7"/>
      <x:c r="E41" s="15"/>
      <x:c r="F41" s="7"/>
      <x:c r="G41" s="7"/>
      <x:c r="H41" s="7"/>
      <x:c r="I41" s="9"/>
      <x:c r="J41" s="9"/>
      <x:c r="K41" s="9"/>
      <x:c r="L41" s="9"/>
      <x:c r="M41" s="9"/>
      <x:c r="N41" s="9"/>
      <x:c r="O41" s="9"/>
      <x:c r="P41" s="7"/>
      <x:c r="Q41" s="12" t="str">
        <x:f>IF(A41="","",IF(OR(B41="",C41="",COUNT(D41:E41)&lt;&gt;2,F41&lt;&gt;"Yes",COUNT(G41:O41)&lt;&gt;9,P41=""),"Missing input",IF(E41-A41&lt;D41,"Not mature",IF(OR(G41=0,H41&gt;G41),"Invalid counts",IF(COUNTIFS($A$6:$A$65,A41,$B$6:$B$65,B41,$C$6:$C$65,C41,$D$6:$D$65,D41)&gt;1,"Duplicate key","Ready")))))</x:f>
      </x:c>
      <x:c r="R41" s="13" t="str">
        <x:f>IF(Q41="","",IF(Q41&lt;&gt;"Ready","n.a.",I41+J41-SUM(K41:O41)))</x:f>
      </x:c>
      <x:c r="S41" s="13" t="str">
        <x:f>IF(Q41="","",IF(Q41&lt;&gt;"Ready","n.a.",R41/G41))</x:f>
      </x:c>
      <x:c r="T41" s="14" t="str">
        <x:f>IF(Q41="","",IF(Q41&lt;&gt;"Ready","n.a.",H41/G41))</x:f>
      </x:c>
      <x:c r="U41" s="9"/>
      <x:c r="V41" s="13" t="str">
        <x:f>IF(Q41="","",IF(OR(Q41&lt;&gt;"Ready",NOT(ISNUMBER(U41))),"Not supplied",U41/G41))</x:f>
      </x:c>
      <x:c r="W41" s="25" t="str">
        <x:f>IF(Q41="","",IF(NOT(ISNUMBER(V41)),"Not supplied",IF(V41=0,"n.a.",S41/V41)))</x:f>
      </x:c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</x:row>
    <x:row r="42" ht="23" customHeight="1">
      <x:c r="A42" s="15"/>
      <x:c r="B42" s="7"/>
      <x:c r="C42" s="7"/>
      <x:c r="D42" s="7"/>
      <x:c r="E42" s="15"/>
      <x:c r="F42" s="7"/>
      <x:c r="G42" s="7"/>
      <x:c r="H42" s="7"/>
      <x:c r="I42" s="9"/>
      <x:c r="J42" s="9"/>
      <x:c r="K42" s="9"/>
      <x:c r="L42" s="9"/>
      <x:c r="M42" s="9"/>
      <x:c r="N42" s="9"/>
      <x:c r="O42" s="9"/>
      <x:c r="P42" s="7"/>
      <x:c r="Q42" s="12" t="str">
        <x:f>IF(A42="","",IF(OR(B42="",C42="",COUNT(D42:E42)&lt;&gt;2,F42&lt;&gt;"Yes",COUNT(G42:O42)&lt;&gt;9,P42=""),"Missing input",IF(E42-A42&lt;D42,"Not mature",IF(OR(G42=0,H42&gt;G42),"Invalid counts",IF(COUNTIFS($A$6:$A$65,A42,$B$6:$B$65,B42,$C$6:$C$65,C42,$D$6:$D$65,D42)&gt;1,"Duplicate key","Ready")))))</x:f>
      </x:c>
      <x:c r="R42" s="13" t="str">
        <x:f>IF(Q42="","",IF(Q42&lt;&gt;"Ready","n.a.",I42+J42-SUM(K42:O42)))</x:f>
      </x:c>
      <x:c r="S42" s="13" t="str">
        <x:f>IF(Q42="","",IF(Q42&lt;&gt;"Ready","n.a.",R42/G42))</x:f>
      </x:c>
      <x:c r="T42" s="14" t="str">
        <x:f>IF(Q42="","",IF(Q42&lt;&gt;"Ready","n.a.",H42/G42))</x:f>
      </x:c>
      <x:c r="U42" s="9"/>
      <x:c r="V42" s="13" t="str">
        <x:f>IF(Q42="","",IF(OR(Q42&lt;&gt;"Ready",NOT(ISNUMBER(U42))),"Not supplied",U42/G42))</x:f>
      </x:c>
      <x:c r="W42" s="25" t="str">
        <x:f>IF(Q42="","",IF(NOT(ISNUMBER(V42)),"Not supplied",IF(V42=0,"n.a.",S42/V42)))</x:f>
      </x:c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</x:row>
    <x:row r="43" ht="23" customHeight="1">
      <x:c r="A43" s="15"/>
      <x:c r="B43" s="7"/>
      <x:c r="C43" s="7"/>
      <x:c r="D43" s="7"/>
      <x:c r="E43" s="15"/>
      <x:c r="F43" s="7"/>
      <x:c r="G43" s="7"/>
      <x:c r="H43" s="7"/>
      <x:c r="I43" s="9"/>
      <x:c r="J43" s="9"/>
      <x:c r="K43" s="9"/>
      <x:c r="L43" s="9"/>
      <x:c r="M43" s="9"/>
      <x:c r="N43" s="9"/>
      <x:c r="O43" s="9"/>
      <x:c r="P43" s="7"/>
      <x:c r="Q43" s="12" t="str">
        <x:f>IF(A43="","",IF(OR(B43="",C43="",COUNT(D43:E43)&lt;&gt;2,F43&lt;&gt;"Yes",COUNT(G43:O43)&lt;&gt;9,P43=""),"Missing input",IF(E43-A43&lt;D43,"Not mature",IF(OR(G43=0,H43&gt;G43),"Invalid counts",IF(COUNTIFS($A$6:$A$65,A43,$B$6:$B$65,B43,$C$6:$C$65,C43,$D$6:$D$65,D43)&gt;1,"Duplicate key","Ready")))))</x:f>
      </x:c>
      <x:c r="R43" s="13" t="str">
        <x:f>IF(Q43="","",IF(Q43&lt;&gt;"Ready","n.a.",I43+J43-SUM(K43:O43)))</x:f>
      </x:c>
      <x:c r="S43" s="13" t="str">
        <x:f>IF(Q43="","",IF(Q43&lt;&gt;"Ready","n.a.",R43/G43))</x:f>
      </x:c>
      <x:c r="T43" s="14" t="str">
        <x:f>IF(Q43="","",IF(Q43&lt;&gt;"Ready","n.a.",H43/G43))</x:f>
      </x:c>
      <x:c r="U43" s="9"/>
      <x:c r="V43" s="13" t="str">
        <x:f>IF(Q43="","",IF(OR(Q43&lt;&gt;"Ready",NOT(ISNUMBER(U43))),"Not supplied",U43/G43))</x:f>
      </x:c>
      <x:c r="W43" s="25" t="str">
        <x:f>IF(Q43="","",IF(NOT(ISNUMBER(V43)),"Not supplied",IF(V43=0,"n.a.",S43/V43)))</x:f>
      </x:c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</x:row>
    <x:row r="44" ht="23" customHeight="1">
      <x:c r="A44" s="15"/>
      <x:c r="B44" s="7"/>
      <x:c r="C44" s="7"/>
      <x:c r="D44" s="7"/>
      <x:c r="E44" s="15"/>
      <x:c r="F44" s="7"/>
      <x:c r="G44" s="7"/>
      <x:c r="H44" s="7"/>
      <x:c r="I44" s="9"/>
      <x:c r="J44" s="9"/>
      <x:c r="K44" s="9"/>
      <x:c r="L44" s="9"/>
      <x:c r="M44" s="9"/>
      <x:c r="N44" s="9"/>
      <x:c r="O44" s="9"/>
      <x:c r="P44" s="7"/>
      <x:c r="Q44" s="12" t="str">
        <x:f>IF(A44="","",IF(OR(B44="",C44="",COUNT(D44:E44)&lt;&gt;2,F44&lt;&gt;"Yes",COUNT(G44:O44)&lt;&gt;9,P44=""),"Missing input",IF(E44-A44&lt;D44,"Not mature",IF(OR(G44=0,H44&gt;G44),"Invalid counts",IF(COUNTIFS($A$6:$A$65,A44,$B$6:$B$65,B44,$C$6:$C$65,C44,$D$6:$D$65,D44)&gt;1,"Duplicate key","Ready")))))</x:f>
      </x:c>
      <x:c r="R44" s="13" t="str">
        <x:f>IF(Q44="","",IF(Q44&lt;&gt;"Ready","n.a.",I44+J44-SUM(K44:O44)))</x:f>
      </x:c>
      <x:c r="S44" s="13" t="str">
        <x:f>IF(Q44="","",IF(Q44&lt;&gt;"Ready","n.a.",R44/G44))</x:f>
      </x:c>
      <x:c r="T44" s="14" t="str">
        <x:f>IF(Q44="","",IF(Q44&lt;&gt;"Ready","n.a.",H44/G44))</x:f>
      </x:c>
      <x:c r="U44" s="9"/>
      <x:c r="V44" s="13" t="str">
        <x:f>IF(Q44="","",IF(OR(Q44&lt;&gt;"Ready",NOT(ISNUMBER(U44))),"Not supplied",U44/G44))</x:f>
      </x:c>
      <x:c r="W44" s="25" t="str">
        <x:f>IF(Q44="","",IF(NOT(ISNUMBER(V44)),"Not supplied",IF(V44=0,"n.a.",S44/V44)))</x:f>
      </x:c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</x:row>
    <x:row r="45" ht="23" customHeight="1">
      <x:c r="A45" s="15"/>
      <x:c r="B45" s="7"/>
      <x:c r="C45" s="7"/>
      <x:c r="D45" s="7"/>
      <x:c r="E45" s="15"/>
      <x:c r="F45" s="7"/>
      <x:c r="G45" s="7"/>
      <x:c r="H45" s="7"/>
      <x:c r="I45" s="9"/>
      <x:c r="J45" s="9"/>
      <x:c r="K45" s="9"/>
      <x:c r="L45" s="9"/>
      <x:c r="M45" s="9"/>
      <x:c r="N45" s="9"/>
      <x:c r="O45" s="9"/>
      <x:c r="P45" s="7"/>
      <x:c r="Q45" s="12" t="str">
        <x:f>IF(A45="","",IF(OR(B45="",C45="",COUNT(D45:E45)&lt;&gt;2,F45&lt;&gt;"Yes",COUNT(G45:O45)&lt;&gt;9,P45=""),"Missing input",IF(E45-A45&lt;D45,"Not mature",IF(OR(G45=0,H45&gt;G45),"Invalid counts",IF(COUNTIFS($A$6:$A$65,A45,$B$6:$B$65,B45,$C$6:$C$65,C45,$D$6:$D$65,D45)&gt;1,"Duplicate key","Ready")))))</x:f>
      </x:c>
      <x:c r="R45" s="13" t="str">
        <x:f>IF(Q45="","",IF(Q45&lt;&gt;"Ready","n.a.",I45+J45-SUM(K45:O45)))</x:f>
      </x:c>
      <x:c r="S45" s="13" t="str">
        <x:f>IF(Q45="","",IF(Q45&lt;&gt;"Ready","n.a.",R45/G45))</x:f>
      </x:c>
      <x:c r="T45" s="14" t="str">
        <x:f>IF(Q45="","",IF(Q45&lt;&gt;"Ready","n.a.",H45/G45))</x:f>
      </x:c>
      <x:c r="U45" s="9"/>
      <x:c r="V45" s="13" t="str">
        <x:f>IF(Q45="","",IF(OR(Q45&lt;&gt;"Ready",NOT(ISNUMBER(U45))),"Not supplied",U45/G45))</x:f>
      </x:c>
      <x:c r="W45" s="25" t="str">
        <x:f>IF(Q45="","",IF(NOT(ISNUMBER(V45)),"Not supplied",IF(V45=0,"n.a.",S45/V45)))</x:f>
      </x:c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</x:row>
    <x:row r="46" ht="23" customHeight="1">
      <x:c r="A46" s="15"/>
      <x:c r="B46" s="7"/>
      <x:c r="C46" s="7"/>
      <x:c r="D46" s="7"/>
      <x:c r="E46" s="15"/>
      <x:c r="F46" s="7"/>
      <x:c r="G46" s="7"/>
      <x:c r="H46" s="7"/>
      <x:c r="I46" s="9"/>
      <x:c r="J46" s="9"/>
      <x:c r="K46" s="9"/>
      <x:c r="L46" s="9"/>
      <x:c r="M46" s="9"/>
      <x:c r="N46" s="9"/>
      <x:c r="O46" s="9"/>
      <x:c r="P46" s="7"/>
      <x:c r="Q46" s="12" t="str">
        <x:f>IF(A46="","",IF(OR(B46="",C46="",COUNT(D46:E46)&lt;&gt;2,F46&lt;&gt;"Yes",COUNT(G46:O46)&lt;&gt;9,P46=""),"Missing input",IF(E46-A46&lt;D46,"Not mature",IF(OR(G46=0,H46&gt;G46),"Invalid counts",IF(COUNTIFS($A$6:$A$65,A46,$B$6:$B$65,B46,$C$6:$C$65,C46,$D$6:$D$65,D46)&gt;1,"Duplicate key","Ready")))))</x:f>
      </x:c>
      <x:c r="R46" s="13" t="str">
        <x:f>IF(Q46="","",IF(Q46&lt;&gt;"Ready","n.a.",I46+J46-SUM(K46:O46)))</x:f>
      </x:c>
      <x:c r="S46" s="13" t="str">
        <x:f>IF(Q46="","",IF(Q46&lt;&gt;"Ready","n.a.",R46/G46))</x:f>
      </x:c>
      <x:c r="T46" s="14" t="str">
        <x:f>IF(Q46="","",IF(Q46&lt;&gt;"Ready","n.a.",H46/G46))</x:f>
      </x:c>
      <x:c r="U46" s="9"/>
      <x:c r="V46" s="13" t="str">
        <x:f>IF(Q46="","",IF(OR(Q46&lt;&gt;"Ready",NOT(ISNUMBER(U46))),"Not supplied",U46/G46))</x:f>
      </x:c>
      <x:c r="W46" s="25" t="str">
        <x:f>IF(Q46="","",IF(NOT(ISNUMBER(V46)),"Not supplied",IF(V46=0,"n.a.",S46/V46)))</x:f>
      </x:c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</x:row>
    <x:row r="47" ht="23" customHeight="1">
      <x:c r="A47" s="15"/>
      <x:c r="B47" s="7"/>
      <x:c r="C47" s="7"/>
      <x:c r="D47" s="7"/>
      <x:c r="E47" s="15"/>
      <x:c r="F47" s="7"/>
      <x:c r="G47" s="7"/>
      <x:c r="H47" s="7"/>
      <x:c r="I47" s="9"/>
      <x:c r="J47" s="9"/>
      <x:c r="K47" s="9"/>
      <x:c r="L47" s="9"/>
      <x:c r="M47" s="9"/>
      <x:c r="N47" s="9"/>
      <x:c r="O47" s="9"/>
      <x:c r="P47" s="7"/>
      <x:c r="Q47" s="12" t="str">
        <x:f>IF(A47="","",IF(OR(B47="",C47="",COUNT(D47:E47)&lt;&gt;2,F47&lt;&gt;"Yes",COUNT(G47:O47)&lt;&gt;9,P47=""),"Missing input",IF(E47-A47&lt;D47,"Not mature",IF(OR(G47=0,H47&gt;G47),"Invalid counts",IF(COUNTIFS($A$6:$A$65,A47,$B$6:$B$65,B47,$C$6:$C$65,C47,$D$6:$D$65,D47)&gt;1,"Duplicate key","Ready")))))</x:f>
      </x:c>
      <x:c r="R47" s="13" t="str">
        <x:f>IF(Q47="","",IF(Q47&lt;&gt;"Ready","n.a.",I47+J47-SUM(K47:O47)))</x:f>
      </x:c>
      <x:c r="S47" s="13" t="str">
        <x:f>IF(Q47="","",IF(Q47&lt;&gt;"Ready","n.a.",R47/G47))</x:f>
      </x:c>
      <x:c r="T47" s="14" t="str">
        <x:f>IF(Q47="","",IF(Q47&lt;&gt;"Ready","n.a.",H47/G47))</x:f>
      </x:c>
      <x:c r="U47" s="9"/>
      <x:c r="V47" s="13" t="str">
        <x:f>IF(Q47="","",IF(OR(Q47&lt;&gt;"Ready",NOT(ISNUMBER(U47))),"Not supplied",U47/G47))</x:f>
      </x:c>
      <x:c r="W47" s="25" t="str">
        <x:f>IF(Q47="","",IF(NOT(ISNUMBER(V47)),"Not supplied",IF(V47=0,"n.a.",S47/V47)))</x:f>
      </x:c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</x:row>
    <x:row r="48" ht="23" customHeight="1">
      <x:c r="A48" s="15"/>
      <x:c r="B48" s="7"/>
      <x:c r="C48" s="7"/>
      <x:c r="D48" s="7"/>
      <x:c r="E48" s="15"/>
      <x:c r="F48" s="7"/>
      <x:c r="G48" s="7"/>
      <x:c r="H48" s="7"/>
      <x:c r="I48" s="9"/>
      <x:c r="J48" s="9"/>
      <x:c r="K48" s="9"/>
      <x:c r="L48" s="9"/>
      <x:c r="M48" s="9"/>
      <x:c r="N48" s="9"/>
      <x:c r="O48" s="9"/>
      <x:c r="P48" s="7"/>
      <x:c r="Q48" s="12" t="str">
        <x:f>IF(A48="","",IF(OR(B48="",C48="",COUNT(D48:E48)&lt;&gt;2,F48&lt;&gt;"Yes",COUNT(G48:O48)&lt;&gt;9,P48=""),"Missing input",IF(E48-A48&lt;D48,"Not mature",IF(OR(G48=0,H48&gt;G48),"Invalid counts",IF(COUNTIFS($A$6:$A$65,A48,$B$6:$B$65,B48,$C$6:$C$65,C48,$D$6:$D$65,D48)&gt;1,"Duplicate key","Ready")))))</x:f>
      </x:c>
      <x:c r="R48" s="13" t="str">
        <x:f>IF(Q48="","",IF(Q48&lt;&gt;"Ready","n.a.",I48+J48-SUM(K48:O48)))</x:f>
      </x:c>
      <x:c r="S48" s="13" t="str">
        <x:f>IF(Q48="","",IF(Q48&lt;&gt;"Ready","n.a.",R48/G48))</x:f>
      </x:c>
      <x:c r="T48" s="14" t="str">
        <x:f>IF(Q48="","",IF(Q48&lt;&gt;"Ready","n.a.",H48/G48))</x:f>
      </x:c>
      <x:c r="U48" s="9"/>
      <x:c r="V48" s="13" t="str">
        <x:f>IF(Q48="","",IF(OR(Q48&lt;&gt;"Ready",NOT(ISNUMBER(U48))),"Not supplied",U48/G48))</x:f>
      </x:c>
      <x:c r="W48" s="25" t="str">
        <x:f>IF(Q48="","",IF(NOT(ISNUMBER(V48)),"Not supplied",IF(V48=0,"n.a.",S48/V48)))</x:f>
      </x:c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</x:row>
    <x:row r="49" ht="23" customHeight="1">
      <x:c r="A49" s="15"/>
      <x:c r="B49" s="7"/>
      <x:c r="C49" s="7"/>
      <x:c r="D49" s="7"/>
      <x:c r="E49" s="15"/>
      <x:c r="F49" s="7"/>
      <x:c r="G49" s="7"/>
      <x:c r="H49" s="7"/>
      <x:c r="I49" s="9"/>
      <x:c r="J49" s="9"/>
      <x:c r="K49" s="9"/>
      <x:c r="L49" s="9"/>
      <x:c r="M49" s="9"/>
      <x:c r="N49" s="9"/>
      <x:c r="O49" s="9"/>
      <x:c r="P49" s="7"/>
      <x:c r="Q49" s="12" t="str">
        <x:f>IF(A49="","",IF(OR(B49="",C49="",COUNT(D49:E49)&lt;&gt;2,F49&lt;&gt;"Yes",COUNT(G49:O49)&lt;&gt;9,P49=""),"Missing input",IF(E49-A49&lt;D49,"Not mature",IF(OR(G49=0,H49&gt;G49),"Invalid counts",IF(COUNTIFS($A$6:$A$65,A49,$B$6:$B$65,B49,$C$6:$C$65,C49,$D$6:$D$65,D49)&gt;1,"Duplicate key","Ready")))))</x:f>
      </x:c>
      <x:c r="R49" s="13" t="str">
        <x:f>IF(Q49="","",IF(Q49&lt;&gt;"Ready","n.a.",I49+J49-SUM(K49:O49)))</x:f>
      </x:c>
      <x:c r="S49" s="13" t="str">
        <x:f>IF(Q49="","",IF(Q49&lt;&gt;"Ready","n.a.",R49/G49))</x:f>
      </x:c>
      <x:c r="T49" s="14" t="str">
        <x:f>IF(Q49="","",IF(Q49&lt;&gt;"Ready","n.a.",H49/G49))</x:f>
      </x:c>
      <x:c r="U49" s="9"/>
      <x:c r="V49" s="13" t="str">
        <x:f>IF(Q49="","",IF(OR(Q49&lt;&gt;"Ready",NOT(ISNUMBER(U49))),"Not supplied",U49/G49))</x:f>
      </x:c>
      <x:c r="W49" s="25" t="str">
        <x:f>IF(Q49="","",IF(NOT(ISNUMBER(V49)),"Not supplied",IF(V49=0,"n.a.",S49/V49)))</x:f>
      </x:c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</x:row>
    <x:row r="50" ht="23" customHeight="1">
      <x:c r="A50" s="15"/>
      <x:c r="B50" s="7"/>
      <x:c r="C50" s="7"/>
      <x:c r="D50" s="7"/>
      <x:c r="E50" s="15"/>
      <x:c r="F50" s="7"/>
      <x:c r="G50" s="7"/>
      <x:c r="H50" s="7"/>
      <x:c r="I50" s="9"/>
      <x:c r="J50" s="9"/>
      <x:c r="K50" s="9"/>
      <x:c r="L50" s="9"/>
      <x:c r="M50" s="9"/>
      <x:c r="N50" s="9"/>
      <x:c r="O50" s="9"/>
      <x:c r="P50" s="7"/>
      <x:c r="Q50" s="12" t="str">
        <x:f>IF(A50="","",IF(OR(B50="",C50="",COUNT(D50:E50)&lt;&gt;2,F50&lt;&gt;"Yes",COUNT(G50:O50)&lt;&gt;9,P50=""),"Missing input",IF(E50-A50&lt;D50,"Not mature",IF(OR(G50=0,H50&gt;G50),"Invalid counts",IF(COUNTIFS($A$6:$A$65,A50,$B$6:$B$65,B50,$C$6:$C$65,C50,$D$6:$D$65,D50)&gt;1,"Duplicate key","Ready")))))</x:f>
      </x:c>
      <x:c r="R50" s="13" t="str">
        <x:f>IF(Q50="","",IF(Q50&lt;&gt;"Ready","n.a.",I50+J50-SUM(K50:O50)))</x:f>
      </x:c>
      <x:c r="S50" s="13" t="str">
        <x:f>IF(Q50="","",IF(Q50&lt;&gt;"Ready","n.a.",R50/G50))</x:f>
      </x:c>
      <x:c r="T50" s="14" t="str">
        <x:f>IF(Q50="","",IF(Q50&lt;&gt;"Ready","n.a.",H50/G50))</x:f>
      </x:c>
      <x:c r="U50" s="9"/>
      <x:c r="V50" s="13" t="str">
        <x:f>IF(Q50="","",IF(OR(Q50&lt;&gt;"Ready",NOT(ISNUMBER(U50))),"Not supplied",U50/G50))</x:f>
      </x:c>
      <x:c r="W50" s="25" t="str">
        <x:f>IF(Q50="","",IF(NOT(ISNUMBER(V50)),"Not supplied",IF(V50=0,"n.a.",S50/V50)))</x:f>
      </x:c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</x:row>
    <x:row r="51" ht="23" customHeight="1">
      <x:c r="A51" s="15"/>
      <x:c r="B51" s="7"/>
      <x:c r="C51" s="7"/>
      <x:c r="D51" s="7"/>
      <x:c r="E51" s="15"/>
      <x:c r="F51" s="7"/>
      <x:c r="G51" s="7"/>
      <x:c r="H51" s="7"/>
      <x:c r="I51" s="9"/>
      <x:c r="J51" s="9"/>
      <x:c r="K51" s="9"/>
      <x:c r="L51" s="9"/>
      <x:c r="M51" s="9"/>
      <x:c r="N51" s="9"/>
      <x:c r="O51" s="9"/>
      <x:c r="P51" s="7"/>
      <x:c r="Q51" s="12" t="str">
        <x:f>IF(A51="","",IF(OR(B51="",C51="",COUNT(D51:E51)&lt;&gt;2,F51&lt;&gt;"Yes",COUNT(G51:O51)&lt;&gt;9,P51=""),"Missing input",IF(E51-A51&lt;D51,"Not mature",IF(OR(G51=0,H51&gt;G51),"Invalid counts",IF(COUNTIFS($A$6:$A$65,A51,$B$6:$B$65,B51,$C$6:$C$65,C51,$D$6:$D$65,D51)&gt;1,"Duplicate key","Ready")))))</x:f>
      </x:c>
      <x:c r="R51" s="13" t="str">
        <x:f>IF(Q51="","",IF(Q51&lt;&gt;"Ready","n.a.",I51+J51-SUM(K51:O51)))</x:f>
      </x:c>
      <x:c r="S51" s="13" t="str">
        <x:f>IF(Q51="","",IF(Q51&lt;&gt;"Ready","n.a.",R51/G51))</x:f>
      </x:c>
      <x:c r="T51" s="14" t="str">
        <x:f>IF(Q51="","",IF(Q51&lt;&gt;"Ready","n.a.",H51/G51))</x:f>
      </x:c>
      <x:c r="U51" s="9"/>
      <x:c r="V51" s="13" t="str">
        <x:f>IF(Q51="","",IF(OR(Q51&lt;&gt;"Ready",NOT(ISNUMBER(U51))),"Not supplied",U51/G51))</x:f>
      </x:c>
      <x:c r="W51" s="25" t="str">
        <x:f>IF(Q51="","",IF(NOT(ISNUMBER(V51)),"Not supplied",IF(V51=0,"n.a.",S51/V51)))</x:f>
      </x:c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</x:row>
    <x:row r="52" ht="23" customHeight="1">
      <x:c r="A52" s="15"/>
      <x:c r="B52" s="7"/>
      <x:c r="C52" s="7"/>
      <x:c r="D52" s="7"/>
      <x:c r="E52" s="15"/>
      <x:c r="F52" s="7"/>
      <x:c r="G52" s="7"/>
      <x:c r="H52" s="7"/>
      <x:c r="I52" s="9"/>
      <x:c r="J52" s="9"/>
      <x:c r="K52" s="9"/>
      <x:c r="L52" s="9"/>
      <x:c r="M52" s="9"/>
      <x:c r="N52" s="9"/>
      <x:c r="O52" s="9"/>
      <x:c r="P52" s="7"/>
      <x:c r="Q52" s="12" t="str">
        <x:f>IF(A52="","",IF(OR(B52="",C52="",COUNT(D52:E52)&lt;&gt;2,F52&lt;&gt;"Yes",COUNT(G52:O52)&lt;&gt;9,P52=""),"Missing input",IF(E52-A52&lt;D52,"Not mature",IF(OR(G52=0,H52&gt;G52),"Invalid counts",IF(COUNTIFS($A$6:$A$65,A52,$B$6:$B$65,B52,$C$6:$C$65,C52,$D$6:$D$65,D52)&gt;1,"Duplicate key","Ready")))))</x:f>
      </x:c>
      <x:c r="R52" s="13" t="str">
        <x:f>IF(Q52="","",IF(Q52&lt;&gt;"Ready","n.a.",I52+J52-SUM(K52:O52)))</x:f>
      </x:c>
      <x:c r="S52" s="13" t="str">
        <x:f>IF(Q52="","",IF(Q52&lt;&gt;"Ready","n.a.",R52/G52))</x:f>
      </x:c>
      <x:c r="T52" s="14" t="str">
        <x:f>IF(Q52="","",IF(Q52&lt;&gt;"Ready","n.a.",H52/G52))</x:f>
      </x:c>
      <x:c r="U52" s="9"/>
      <x:c r="V52" s="13" t="str">
        <x:f>IF(Q52="","",IF(OR(Q52&lt;&gt;"Ready",NOT(ISNUMBER(U52))),"Not supplied",U52/G52))</x:f>
      </x:c>
      <x:c r="W52" s="25" t="str">
        <x:f>IF(Q52="","",IF(NOT(ISNUMBER(V52)),"Not supplied",IF(V52=0,"n.a.",S52/V52)))</x:f>
      </x:c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</x:row>
    <x:row r="53" ht="23" customHeight="1">
      <x:c r="A53" s="15"/>
      <x:c r="B53" s="7"/>
      <x:c r="C53" s="7"/>
      <x:c r="D53" s="7"/>
      <x:c r="E53" s="15"/>
      <x:c r="F53" s="7"/>
      <x:c r="G53" s="7"/>
      <x:c r="H53" s="7"/>
      <x:c r="I53" s="9"/>
      <x:c r="J53" s="9"/>
      <x:c r="K53" s="9"/>
      <x:c r="L53" s="9"/>
      <x:c r="M53" s="9"/>
      <x:c r="N53" s="9"/>
      <x:c r="O53" s="9"/>
      <x:c r="P53" s="7"/>
      <x:c r="Q53" s="12" t="str">
        <x:f>IF(A53="","",IF(OR(B53="",C53="",COUNT(D53:E53)&lt;&gt;2,F53&lt;&gt;"Yes",COUNT(G53:O53)&lt;&gt;9,P53=""),"Missing input",IF(E53-A53&lt;D53,"Not mature",IF(OR(G53=0,H53&gt;G53),"Invalid counts",IF(COUNTIFS($A$6:$A$65,A53,$B$6:$B$65,B53,$C$6:$C$65,C53,$D$6:$D$65,D53)&gt;1,"Duplicate key","Ready")))))</x:f>
      </x:c>
      <x:c r="R53" s="13" t="str">
        <x:f>IF(Q53="","",IF(Q53&lt;&gt;"Ready","n.a.",I53+J53-SUM(K53:O53)))</x:f>
      </x:c>
      <x:c r="S53" s="13" t="str">
        <x:f>IF(Q53="","",IF(Q53&lt;&gt;"Ready","n.a.",R53/G53))</x:f>
      </x:c>
      <x:c r="T53" s="14" t="str">
        <x:f>IF(Q53="","",IF(Q53&lt;&gt;"Ready","n.a.",H53/G53))</x:f>
      </x:c>
      <x:c r="U53" s="9"/>
      <x:c r="V53" s="13" t="str">
        <x:f>IF(Q53="","",IF(OR(Q53&lt;&gt;"Ready",NOT(ISNUMBER(U53))),"Not supplied",U53/G53))</x:f>
      </x:c>
      <x:c r="W53" s="25" t="str">
        <x:f>IF(Q53="","",IF(NOT(ISNUMBER(V53)),"Not supplied",IF(V53=0,"n.a.",S53/V53)))</x:f>
      </x:c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</x:row>
    <x:row r="54" ht="23" customHeight="1">
      <x:c r="A54" s="15"/>
      <x:c r="B54" s="7"/>
      <x:c r="C54" s="7"/>
      <x:c r="D54" s="7"/>
      <x:c r="E54" s="15"/>
      <x:c r="F54" s="7"/>
      <x:c r="G54" s="7"/>
      <x:c r="H54" s="7"/>
      <x:c r="I54" s="9"/>
      <x:c r="J54" s="9"/>
      <x:c r="K54" s="9"/>
      <x:c r="L54" s="9"/>
      <x:c r="M54" s="9"/>
      <x:c r="N54" s="9"/>
      <x:c r="O54" s="9"/>
      <x:c r="P54" s="7"/>
      <x:c r="Q54" s="12" t="str">
        <x:f>IF(A54="","",IF(OR(B54="",C54="",COUNT(D54:E54)&lt;&gt;2,F54&lt;&gt;"Yes",COUNT(G54:O54)&lt;&gt;9,P54=""),"Missing input",IF(E54-A54&lt;D54,"Not mature",IF(OR(G54=0,H54&gt;G54),"Invalid counts",IF(COUNTIFS($A$6:$A$65,A54,$B$6:$B$65,B54,$C$6:$C$65,C54,$D$6:$D$65,D54)&gt;1,"Duplicate key","Ready")))))</x:f>
      </x:c>
      <x:c r="R54" s="13" t="str">
        <x:f>IF(Q54="","",IF(Q54&lt;&gt;"Ready","n.a.",I54+J54-SUM(K54:O54)))</x:f>
      </x:c>
      <x:c r="S54" s="13" t="str">
        <x:f>IF(Q54="","",IF(Q54&lt;&gt;"Ready","n.a.",R54/G54))</x:f>
      </x:c>
      <x:c r="T54" s="14" t="str">
        <x:f>IF(Q54="","",IF(Q54&lt;&gt;"Ready","n.a.",H54/G54))</x:f>
      </x:c>
      <x:c r="U54" s="9"/>
      <x:c r="V54" s="13" t="str">
        <x:f>IF(Q54="","",IF(OR(Q54&lt;&gt;"Ready",NOT(ISNUMBER(U54))),"Not supplied",U54/G54))</x:f>
      </x:c>
      <x:c r="W54" s="25" t="str">
        <x:f>IF(Q54="","",IF(NOT(ISNUMBER(V54)),"Not supplied",IF(V54=0,"n.a.",S54/V54)))</x:f>
      </x:c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</x:row>
    <x:row r="55" ht="23" customHeight="1">
      <x:c r="A55" s="15"/>
      <x:c r="B55" s="7"/>
      <x:c r="C55" s="7"/>
      <x:c r="D55" s="7"/>
      <x:c r="E55" s="15"/>
      <x:c r="F55" s="7"/>
      <x:c r="G55" s="7"/>
      <x:c r="H55" s="7"/>
      <x:c r="I55" s="9"/>
      <x:c r="J55" s="9"/>
      <x:c r="K55" s="9"/>
      <x:c r="L55" s="9"/>
      <x:c r="M55" s="9"/>
      <x:c r="N55" s="9"/>
      <x:c r="O55" s="9"/>
      <x:c r="P55" s="7"/>
      <x:c r="Q55" s="12" t="str">
        <x:f>IF(A55="","",IF(OR(B55="",C55="",COUNT(D55:E55)&lt;&gt;2,F55&lt;&gt;"Yes",COUNT(G55:O55)&lt;&gt;9,P55=""),"Missing input",IF(E55-A55&lt;D55,"Not mature",IF(OR(G55=0,H55&gt;G55),"Invalid counts",IF(COUNTIFS($A$6:$A$65,A55,$B$6:$B$65,B55,$C$6:$C$65,C55,$D$6:$D$65,D55)&gt;1,"Duplicate key","Ready")))))</x:f>
      </x:c>
      <x:c r="R55" s="13" t="str">
        <x:f>IF(Q55="","",IF(Q55&lt;&gt;"Ready","n.a.",I55+J55-SUM(K55:O55)))</x:f>
      </x:c>
      <x:c r="S55" s="13" t="str">
        <x:f>IF(Q55="","",IF(Q55&lt;&gt;"Ready","n.a.",R55/G55))</x:f>
      </x:c>
      <x:c r="T55" s="14" t="str">
        <x:f>IF(Q55="","",IF(Q55&lt;&gt;"Ready","n.a.",H55/G55))</x:f>
      </x:c>
      <x:c r="U55" s="9"/>
      <x:c r="V55" s="13" t="str">
        <x:f>IF(Q55="","",IF(OR(Q55&lt;&gt;"Ready",NOT(ISNUMBER(U55))),"Not supplied",U55/G55))</x:f>
      </x:c>
      <x:c r="W55" s="25" t="str">
        <x:f>IF(Q55="","",IF(NOT(ISNUMBER(V55)),"Not supplied",IF(V55=0,"n.a.",S55/V55)))</x:f>
      </x:c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</x:row>
    <x:row r="56" ht="23" customHeight="1">
      <x:c r="A56" s="15"/>
      <x:c r="B56" s="7"/>
      <x:c r="C56" s="7"/>
      <x:c r="D56" s="7"/>
      <x:c r="E56" s="15"/>
      <x:c r="F56" s="7"/>
      <x:c r="G56" s="7"/>
      <x:c r="H56" s="7"/>
      <x:c r="I56" s="9"/>
      <x:c r="J56" s="9"/>
      <x:c r="K56" s="9"/>
      <x:c r="L56" s="9"/>
      <x:c r="M56" s="9"/>
      <x:c r="N56" s="9"/>
      <x:c r="O56" s="9"/>
      <x:c r="P56" s="7"/>
      <x:c r="Q56" s="12" t="str">
        <x:f>IF(A56="","",IF(OR(B56="",C56="",COUNT(D56:E56)&lt;&gt;2,F56&lt;&gt;"Yes",COUNT(G56:O56)&lt;&gt;9,P56=""),"Missing input",IF(E56-A56&lt;D56,"Not mature",IF(OR(G56=0,H56&gt;G56),"Invalid counts",IF(COUNTIFS($A$6:$A$65,A56,$B$6:$B$65,B56,$C$6:$C$65,C56,$D$6:$D$65,D56)&gt;1,"Duplicate key","Ready")))))</x:f>
      </x:c>
      <x:c r="R56" s="13" t="str">
        <x:f>IF(Q56="","",IF(Q56&lt;&gt;"Ready","n.a.",I56+J56-SUM(K56:O56)))</x:f>
      </x:c>
      <x:c r="S56" s="13" t="str">
        <x:f>IF(Q56="","",IF(Q56&lt;&gt;"Ready","n.a.",R56/G56))</x:f>
      </x:c>
      <x:c r="T56" s="14" t="str">
        <x:f>IF(Q56="","",IF(Q56&lt;&gt;"Ready","n.a.",H56/G56))</x:f>
      </x:c>
      <x:c r="U56" s="9"/>
      <x:c r="V56" s="13" t="str">
        <x:f>IF(Q56="","",IF(OR(Q56&lt;&gt;"Ready",NOT(ISNUMBER(U56))),"Not supplied",U56/G56))</x:f>
      </x:c>
      <x:c r="W56" s="25" t="str">
        <x:f>IF(Q56="","",IF(NOT(ISNUMBER(V56)),"Not supplied",IF(V56=0,"n.a.",S56/V56)))</x:f>
      </x:c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</x:row>
    <x:row r="57" ht="23" customHeight="1">
      <x:c r="A57" s="15"/>
      <x:c r="B57" s="7"/>
      <x:c r="C57" s="7"/>
      <x:c r="D57" s="7"/>
      <x:c r="E57" s="15"/>
      <x:c r="F57" s="7"/>
      <x:c r="G57" s="7"/>
      <x:c r="H57" s="7"/>
      <x:c r="I57" s="9"/>
      <x:c r="J57" s="9"/>
      <x:c r="K57" s="9"/>
      <x:c r="L57" s="9"/>
      <x:c r="M57" s="9"/>
      <x:c r="N57" s="9"/>
      <x:c r="O57" s="9"/>
      <x:c r="P57" s="7"/>
      <x:c r="Q57" s="12" t="str">
        <x:f>IF(A57="","",IF(OR(B57="",C57="",COUNT(D57:E57)&lt;&gt;2,F57&lt;&gt;"Yes",COUNT(G57:O57)&lt;&gt;9,P57=""),"Missing input",IF(E57-A57&lt;D57,"Not mature",IF(OR(G57=0,H57&gt;G57),"Invalid counts",IF(COUNTIFS($A$6:$A$65,A57,$B$6:$B$65,B57,$C$6:$C$65,C57,$D$6:$D$65,D57)&gt;1,"Duplicate key","Ready")))))</x:f>
      </x:c>
      <x:c r="R57" s="13" t="str">
        <x:f>IF(Q57="","",IF(Q57&lt;&gt;"Ready","n.a.",I57+J57-SUM(K57:O57)))</x:f>
      </x:c>
      <x:c r="S57" s="13" t="str">
        <x:f>IF(Q57="","",IF(Q57&lt;&gt;"Ready","n.a.",R57/G57))</x:f>
      </x:c>
      <x:c r="T57" s="14" t="str">
        <x:f>IF(Q57="","",IF(Q57&lt;&gt;"Ready","n.a.",H57/G57))</x:f>
      </x:c>
      <x:c r="U57" s="9"/>
      <x:c r="V57" s="13" t="str">
        <x:f>IF(Q57="","",IF(OR(Q57&lt;&gt;"Ready",NOT(ISNUMBER(U57))),"Not supplied",U57/G57))</x:f>
      </x:c>
      <x:c r="W57" s="25" t="str">
        <x:f>IF(Q57="","",IF(NOT(ISNUMBER(V57)),"Not supplied",IF(V57=0,"n.a.",S57/V57)))</x:f>
      </x:c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</x:row>
    <x:row r="58" ht="23" customHeight="1">
      <x:c r="A58" s="15"/>
      <x:c r="B58" s="7"/>
      <x:c r="C58" s="7"/>
      <x:c r="D58" s="7"/>
      <x:c r="E58" s="15"/>
      <x:c r="F58" s="7"/>
      <x:c r="G58" s="7"/>
      <x:c r="H58" s="7"/>
      <x:c r="I58" s="9"/>
      <x:c r="J58" s="9"/>
      <x:c r="K58" s="9"/>
      <x:c r="L58" s="9"/>
      <x:c r="M58" s="9"/>
      <x:c r="N58" s="9"/>
      <x:c r="O58" s="9"/>
      <x:c r="P58" s="7"/>
      <x:c r="Q58" s="12" t="str">
        <x:f>IF(A58="","",IF(OR(B58="",C58="",COUNT(D58:E58)&lt;&gt;2,F58&lt;&gt;"Yes",COUNT(G58:O58)&lt;&gt;9,P58=""),"Missing input",IF(E58-A58&lt;D58,"Not mature",IF(OR(G58=0,H58&gt;G58),"Invalid counts",IF(COUNTIFS($A$6:$A$65,A58,$B$6:$B$65,B58,$C$6:$C$65,C58,$D$6:$D$65,D58)&gt;1,"Duplicate key","Ready")))))</x:f>
      </x:c>
      <x:c r="R58" s="13" t="str">
        <x:f>IF(Q58="","",IF(Q58&lt;&gt;"Ready","n.a.",I58+J58-SUM(K58:O58)))</x:f>
      </x:c>
      <x:c r="S58" s="13" t="str">
        <x:f>IF(Q58="","",IF(Q58&lt;&gt;"Ready","n.a.",R58/G58))</x:f>
      </x:c>
      <x:c r="T58" s="14" t="str">
        <x:f>IF(Q58="","",IF(Q58&lt;&gt;"Ready","n.a.",H58/G58))</x:f>
      </x:c>
      <x:c r="U58" s="9"/>
      <x:c r="V58" s="13" t="str">
        <x:f>IF(Q58="","",IF(OR(Q58&lt;&gt;"Ready",NOT(ISNUMBER(U58))),"Not supplied",U58/G58))</x:f>
      </x:c>
      <x:c r="W58" s="25" t="str">
        <x:f>IF(Q58="","",IF(NOT(ISNUMBER(V58)),"Not supplied",IF(V58=0,"n.a.",S58/V58)))</x:f>
      </x:c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</x:row>
    <x:row r="59" ht="23" customHeight="1">
      <x:c r="A59" s="15"/>
      <x:c r="B59" s="7"/>
      <x:c r="C59" s="7"/>
      <x:c r="D59" s="7"/>
      <x:c r="E59" s="15"/>
      <x:c r="F59" s="7"/>
      <x:c r="G59" s="7"/>
      <x:c r="H59" s="7"/>
      <x:c r="I59" s="9"/>
      <x:c r="J59" s="9"/>
      <x:c r="K59" s="9"/>
      <x:c r="L59" s="9"/>
      <x:c r="M59" s="9"/>
      <x:c r="N59" s="9"/>
      <x:c r="O59" s="9"/>
      <x:c r="P59" s="7"/>
      <x:c r="Q59" s="12" t="str">
        <x:f>IF(A59="","",IF(OR(B59="",C59="",COUNT(D59:E59)&lt;&gt;2,F59&lt;&gt;"Yes",COUNT(G59:O59)&lt;&gt;9,P59=""),"Missing input",IF(E59-A59&lt;D59,"Not mature",IF(OR(G59=0,H59&gt;G59),"Invalid counts",IF(COUNTIFS($A$6:$A$65,A59,$B$6:$B$65,B59,$C$6:$C$65,C59,$D$6:$D$65,D59)&gt;1,"Duplicate key","Ready")))))</x:f>
      </x:c>
      <x:c r="R59" s="13" t="str">
        <x:f>IF(Q59="","",IF(Q59&lt;&gt;"Ready","n.a.",I59+J59-SUM(K59:O59)))</x:f>
      </x:c>
      <x:c r="S59" s="13" t="str">
        <x:f>IF(Q59="","",IF(Q59&lt;&gt;"Ready","n.a.",R59/G59))</x:f>
      </x:c>
      <x:c r="T59" s="14" t="str">
        <x:f>IF(Q59="","",IF(Q59&lt;&gt;"Ready","n.a.",H59/G59))</x:f>
      </x:c>
      <x:c r="U59" s="9"/>
      <x:c r="V59" s="13" t="str">
        <x:f>IF(Q59="","",IF(OR(Q59&lt;&gt;"Ready",NOT(ISNUMBER(U59))),"Not supplied",U59/G59))</x:f>
      </x:c>
      <x:c r="W59" s="25" t="str">
        <x:f>IF(Q59="","",IF(NOT(ISNUMBER(V59)),"Not supplied",IF(V59=0,"n.a.",S59/V59)))</x:f>
      </x:c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</x:row>
    <x:row r="60" ht="23" customHeight="1">
      <x:c r="A60" s="15"/>
      <x:c r="B60" s="7"/>
      <x:c r="C60" s="7"/>
      <x:c r="D60" s="7"/>
      <x:c r="E60" s="15"/>
      <x:c r="F60" s="7"/>
      <x:c r="G60" s="7"/>
      <x:c r="H60" s="7"/>
      <x:c r="I60" s="9"/>
      <x:c r="J60" s="9"/>
      <x:c r="K60" s="9"/>
      <x:c r="L60" s="9"/>
      <x:c r="M60" s="9"/>
      <x:c r="N60" s="9"/>
      <x:c r="O60" s="9"/>
      <x:c r="P60" s="7"/>
      <x:c r="Q60" s="12" t="str">
        <x:f>IF(A60="","",IF(OR(B60="",C60="",COUNT(D60:E60)&lt;&gt;2,F60&lt;&gt;"Yes",COUNT(G60:O60)&lt;&gt;9,P60=""),"Missing input",IF(E60-A60&lt;D60,"Not mature",IF(OR(G60=0,H60&gt;G60),"Invalid counts",IF(COUNTIFS($A$6:$A$65,A60,$B$6:$B$65,B60,$C$6:$C$65,C60,$D$6:$D$65,D60)&gt;1,"Duplicate key","Ready")))))</x:f>
      </x:c>
      <x:c r="R60" s="13" t="str">
        <x:f>IF(Q60="","",IF(Q60&lt;&gt;"Ready","n.a.",I60+J60-SUM(K60:O60)))</x:f>
      </x:c>
      <x:c r="S60" s="13" t="str">
        <x:f>IF(Q60="","",IF(Q60&lt;&gt;"Ready","n.a.",R60/G60))</x:f>
      </x:c>
      <x:c r="T60" s="14" t="str">
        <x:f>IF(Q60="","",IF(Q60&lt;&gt;"Ready","n.a.",H60/G60))</x:f>
      </x:c>
      <x:c r="U60" s="9"/>
      <x:c r="V60" s="13" t="str">
        <x:f>IF(Q60="","",IF(OR(Q60&lt;&gt;"Ready",NOT(ISNUMBER(U60))),"Not supplied",U60/G60))</x:f>
      </x:c>
      <x:c r="W60" s="25" t="str">
        <x:f>IF(Q60="","",IF(NOT(ISNUMBER(V60)),"Not supplied",IF(V60=0,"n.a.",S60/V60)))</x:f>
      </x:c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</x:row>
    <x:row r="61" ht="23" customHeight="1">
      <x:c r="A61" s="15"/>
      <x:c r="B61" s="7"/>
      <x:c r="C61" s="7"/>
      <x:c r="D61" s="7"/>
      <x:c r="E61" s="15"/>
      <x:c r="F61" s="7"/>
      <x:c r="G61" s="7"/>
      <x:c r="H61" s="7"/>
      <x:c r="I61" s="9"/>
      <x:c r="J61" s="9"/>
      <x:c r="K61" s="9"/>
      <x:c r="L61" s="9"/>
      <x:c r="M61" s="9"/>
      <x:c r="N61" s="9"/>
      <x:c r="O61" s="9"/>
      <x:c r="P61" s="7"/>
      <x:c r="Q61" s="12" t="str">
        <x:f>IF(A61="","",IF(OR(B61="",C61="",COUNT(D61:E61)&lt;&gt;2,F61&lt;&gt;"Yes",COUNT(G61:O61)&lt;&gt;9,P61=""),"Missing input",IF(E61-A61&lt;D61,"Not mature",IF(OR(G61=0,H61&gt;G61),"Invalid counts",IF(COUNTIFS($A$6:$A$65,A61,$B$6:$B$65,B61,$C$6:$C$65,C61,$D$6:$D$65,D61)&gt;1,"Duplicate key","Ready")))))</x:f>
      </x:c>
      <x:c r="R61" s="13" t="str">
        <x:f>IF(Q61="","",IF(Q61&lt;&gt;"Ready","n.a.",I61+J61-SUM(K61:O61)))</x:f>
      </x:c>
      <x:c r="S61" s="13" t="str">
        <x:f>IF(Q61="","",IF(Q61&lt;&gt;"Ready","n.a.",R61/G61))</x:f>
      </x:c>
      <x:c r="T61" s="14" t="str">
        <x:f>IF(Q61="","",IF(Q61&lt;&gt;"Ready","n.a.",H61/G61))</x:f>
      </x:c>
      <x:c r="U61" s="9"/>
      <x:c r="V61" s="13" t="str">
        <x:f>IF(Q61="","",IF(OR(Q61&lt;&gt;"Ready",NOT(ISNUMBER(U61))),"Not supplied",U61/G61))</x:f>
      </x:c>
      <x:c r="W61" s="25" t="str">
        <x:f>IF(Q61="","",IF(NOT(ISNUMBER(V61)),"Not supplied",IF(V61=0,"n.a.",S61/V61)))</x:f>
      </x:c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</x:row>
    <x:row r="62" ht="23" customHeight="1">
      <x:c r="A62" s="15"/>
      <x:c r="B62" s="7"/>
      <x:c r="C62" s="7"/>
      <x:c r="D62" s="7"/>
      <x:c r="E62" s="15"/>
      <x:c r="F62" s="7"/>
      <x:c r="G62" s="7"/>
      <x:c r="H62" s="7"/>
      <x:c r="I62" s="9"/>
      <x:c r="J62" s="9"/>
      <x:c r="K62" s="9"/>
      <x:c r="L62" s="9"/>
      <x:c r="M62" s="9"/>
      <x:c r="N62" s="9"/>
      <x:c r="O62" s="9"/>
      <x:c r="P62" s="7"/>
      <x:c r="Q62" s="12" t="str">
        <x:f>IF(A62="","",IF(OR(B62="",C62="",COUNT(D62:E62)&lt;&gt;2,F62&lt;&gt;"Yes",COUNT(G62:O62)&lt;&gt;9,P62=""),"Missing input",IF(E62-A62&lt;D62,"Not mature",IF(OR(G62=0,H62&gt;G62),"Invalid counts",IF(COUNTIFS($A$6:$A$65,A62,$B$6:$B$65,B62,$C$6:$C$65,C62,$D$6:$D$65,D62)&gt;1,"Duplicate key","Ready")))))</x:f>
      </x:c>
      <x:c r="R62" s="13" t="str">
        <x:f>IF(Q62="","",IF(Q62&lt;&gt;"Ready","n.a.",I62+J62-SUM(K62:O62)))</x:f>
      </x:c>
      <x:c r="S62" s="13" t="str">
        <x:f>IF(Q62="","",IF(Q62&lt;&gt;"Ready","n.a.",R62/G62))</x:f>
      </x:c>
      <x:c r="T62" s="14" t="str">
        <x:f>IF(Q62="","",IF(Q62&lt;&gt;"Ready","n.a.",H62/G62))</x:f>
      </x:c>
      <x:c r="U62" s="9"/>
      <x:c r="V62" s="13" t="str">
        <x:f>IF(Q62="","",IF(OR(Q62&lt;&gt;"Ready",NOT(ISNUMBER(U62))),"Not supplied",U62/G62))</x:f>
      </x:c>
      <x:c r="W62" s="25" t="str">
        <x:f>IF(Q62="","",IF(NOT(ISNUMBER(V62)),"Not supplied",IF(V62=0,"n.a.",S62/V62)))</x:f>
      </x:c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</x:row>
    <x:row r="63" ht="23" customHeight="1">
      <x:c r="A63" s="15"/>
      <x:c r="B63" s="7"/>
      <x:c r="C63" s="7"/>
      <x:c r="D63" s="7"/>
      <x:c r="E63" s="15"/>
      <x:c r="F63" s="7"/>
      <x:c r="G63" s="7"/>
      <x:c r="H63" s="7"/>
      <x:c r="I63" s="9"/>
      <x:c r="J63" s="9"/>
      <x:c r="K63" s="9"/>
      <x:c r="L63" s="9"/>
      <x:c r="M63" s="9"/>
      <x:c r="N63" s="9"/>
      <x:c r="O63" s="9"/>
      <x:c r="P63" s="7"/>
      <x:c r="Q63" s="12" t="str">
        <x:f>IF(A63="","",IF(OR(B63="",C63="",COUNT(D63:E63)&lt;&gt;2,F63&lt;&gt;"Yes",COUNT(G63:O63)&lt;&gt;9,P63=""),"Missing input",IF(E63-A63&lt;D63,"Not mature",IF(OR(G63=0,H63&gt;G63),"Invalid counts",IF(COUNTIFS($A$6:$A$65,A63,$B$6:$B$65,B63,$C$6:$C$65,C63,$D$6:$D$65,D63)&gt;1,"Duplicate key","Ready")))))</x:f>
      </x:c>
      <x:c r="R63" s="13" t="str">
        <x:f>IF(Q63="","",IF(Q63&lt;&gt;"Ready","n.a.",I63+J63-SUM(K63:O63)))</x:f>
      </x:c>
      <x:c r="S63" s="13" t="str">
        <x:f>IF(Q63="","",IF(Q63&lt;&gt;"Ready","n.a.",R63/G63))</x:f>
      </x:c>
      <x:c r="T63" s="14" t="str">
        <x:f>IF(Q63="","",IF(Q63&lt;&gt;"Ready","n.a.",H63/G63))</x:f>
      </x:c>
      <x:c r="U63" s="9"/>
      <x:c r="V63" s="13" t="str">
        <x:f>IF(Q63="","",IF(OR(Q63&lt;&gt;"Ready",NOT(ISNUMBER(U63))),"Not supplied",U63/G63))</x:f>
      </x:c>
      <x:c r="W63" s="25" t="str">
        <x:f>IF(Q63="","",IF(NOT(ISNUMBER(V63)),"Not supplied",IF(V63=0,"n.a.",S63/V63)))</x:f>
      </x:c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</x:row>
    <x:row r="64" ht="23" customHeight="1">
      <x:c r="A64" s="15"/>
      <x:c r="B64" s="7"/>
      <x:c r="C64" s="7"/>
      <x:c r="D64" s="7"/>
      <x:c r="E64" s="15"/>
      <x:c r="F64" s="7"/>
      <x:c r="G64" s="7"/>
      <x:c r="H64" s="7"/>
      <x:c r="I64" s="9"/>
      <x:c r="J64" s="9"/>
      <x:c r="K64" s="9"/>
      <x:c r="L64" s="9"/>
      <x:c r="M64" s="9"/>
      <x:c r="N64" s="9"/>
      <x:c r="O64" s="9"/>
      <x:c r="P64" s="7"/>
      <x:c r="Q64" s="12" t="str">
        <x:f>IF(A64="","",IF(OR(B64="",C64="",COUNT(D64:E64)&lt;&gt;2,F64&lt;&gt;"Yes",COUNT(G64:O64)&lt;&gt;9,P64=""),"Missing input",IF(E64-A64&lt;D64,"Not mature",IF(OR(G64=0,H64&gt;G64),"Invalid counts",IF(COUNTIFS($A$6:$A$65,A64,$B$6:$B$65,B64,$C$6:$C$65,C64,$D$6:$D$65,D64)&gt;1,"Duplicate key","Ready")))))</x:f>
      </x:c>
      <x:c r="R64" s="13" t="str">
        <x:f>IF(Q64="","",IF(Q64&lt;&gt;"Ready","n.a.",I64+J64-SUM(K64:O64)))</x:f>
      </x:c>
      <x:c r="S64" s="13" t="str">
        <x:f>IF(Q64="","",IF(Q64&lt;&gt;"Ready","n.a.",R64/G64))</x:f>
      </x:c>
      <x:c r="T64" s="14" t="str">
        <x:f>IF(Q64="","",IF(Q64&lt;&gt;"Ready","n.a.",H64/G64))</x:f>
      </x:c>
      <x:c r="U64" s="9"/>
      <x:c r="V64" s="13" t="str">
        <x:f>IF(Q64="","",IF(OR(Q64&lt;&gt;"Ready",NOT(ISNUMBER(U64))),"Not supplied",U64/G64))</x:f>
      </x:c>
      <x:c r="W64" s="25" t="str">
        <x:f>IF(Q64="","",IF(NOT(ISNUMBER(V64)),"Not supplied",IF(V64=0,"n.a.",S64/V64)))</x:f>
      </x:c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</x:row>
    <x:row r="65" ht="23" customHeight="1">
      <x:c r="A65" s="15"/>
      <x:c r="B65" s="7"/>
      <x:c r="C65" s="7"/>
      <x:c r="D65" s="7"/>
      <x:c r="E65" s="15"/>
      <x:c r="F65" s="7"/>
      <x:c r="G65" s="7"/>
      <x:c r="H65" s="7"/>
      <x:c r="I65" s="9"/>
      <x:c r="J65" s="9"/>
      <x:c r="K65" s="9"/>
      <x:c r="L65" s="9"/>
      <x:c r="M65" s="9"/>
      <x:c r="N65" s="9"/>
      <x:c r="O65" s="9"/>
      <x:c r="P65" s="7"/>
      <x:c r="Q65" s="12" t="str">
        <x:f>IF(A65="","",IF(OR(B65="",C65="",COUNT(D65:E65)&lt;&gt;2,F65&lt;&gt;"Yes",COUNT(G65:O65)&lt;&gt;9,P65=""),"Missing input",IF(E65-A65&lt;D65,"Not mature",IF(OR(G65=0,H65&gt;G65),"Invalid counts",IF(COUNTIFS($A$6:$A$65,A65,$B$6:$B$65,B65,$C$6:$C$65,C65,$D$6:$D$65,D65)&gt;1,"Duplicate key","Ready")))))</x:f>
      </x:c>
      <x:c r="R65" s="13" t="str">
        <x:f>IF(Q65="","",IF(Q65&lt;&gt;"Ready","n.a.",I65+J65-SUM(K65:O65)))</x:f>
      </x:c>
      <x:c r="S65" s="13" t="str">
        <x:f>IF(Q65="","",IF(Q65&lt;&gt;"Ready","n.a.",R65/G65))</x:f>
      </x:c>
      <x:c r="T65" s="14" t="str">
        <x:f>IF(Q65="","",IF(Q65&lt;&gt;"Ready","n.a.",H65/G65))</x:f>
      </x:c>
      <x:c r="U65" s="9"/>
      <x:c r="V65" s="13" t="str">
        <x:f>IF(Q65="","",IF(OR(Q65&lt;&gt;"Ready",NOT(ISNUMBER(U65))),"Not supplied",U65/G65))</x:f>
      </x:c>
      <x:c r="W65" s="25" t="str">
        <x:f>IF(Q65="","",IF(NOT(ISNUMBER(V65)),"Not supplied",IF(V65=0,"n.a.",S65/V65)))</x:f>
      </x:c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</x:row>
  </x:sheetData>
  <x:conditionalFormatting sqref="A1:AI70">
    <x:cfRule type="containsText" dxfId="1" priority="1" operator="containsText" text="Missing"/>
  </x:conditionalFormatting>
  <x:dataValidations count="6">
    <x:dataValidation type="list" sqref="B6:B65">
      <x:formula1>"D2C,B2B"</x:formula1>
    </x:dataValidation>
    <x:dataValidation type="list" sqref="D6:D65">
      <x:formula1>"30,60,90,180"</x:formula1>
    </x:dataValidation>
    <x:dataValidation type="list" sqref="F6:F65">
      <x:formula1>"Yes,No"</x:formula1>
    </x:dataValidation>
    <x:dataValidation type="decimal" operator="greaterThanOrEqual" sqref="G6:H65">
      <x:formula1>0</x:formula1>
    </x:dataValidation>
    <x:dataValidation type="decimal" operator="greaterThanOrEqual" sqref="J6:O65">
      <x:formula1>0</x:formula1>
    </x:dataValidation>
    <x:dataValidation type="decimal" operator="greaterThanOrEqual" sqref="U6:U6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d45fce0a54448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23" customHeight="1">
      <x:c r="A2" s="2" t="str">
        <x:v>Ritual engagement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3" customHeight="1">
      <x:c r="A3" s="3" t="str">
        <x:v>Optional self-report only. Survey completion, practice and purchases are distinct measures.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</x:row>
    <x:row r="5" ht="44" customHeight="1">
      <x:c r="A5" s="6" t="str">
        <x:v>Period start</x:v>
      </x:c>
      <x:c r="B5" s="6" t="str">
        <x:v>Period end</x:v>
      </x:c>
      <x:c r="C5" s="6" t="str">
        <x:v>Motion</x:v>
      </x:c>
      <x:c r="D5" s="6" t="str">
        <x:v>Instrument version</x:v>
      </x:c>
      <x:c r="E5" s="6" t="str">
        <x:v>Invited</x:v>
      </x:c>
      <x:c r="F5" s="6" t="str">
        <x:v>Respondents</x:v>
      </x:c>
      <x:c r="G5" s="6" t="str">
        <x:v>Practised all 7 days</x:v>
      </x:c>
      <x:c r="H5" s="6" t="str">
        <x:v>Multiple rituals</x:v>
      </x:c>
      <x:c r="I5" s="6" t="str">
        <x:v>Source / extract</x:v>
      </x:c>
      <x:c r="J5" s="6" t="str">
        <x:v>Response rate</x:v>
      </x:c>
      <x:c r="K5" s="6" t="str">
        <x:v>Practice share</x:v>
      </x:c>
      <x:c r="L5" s="6" t="str">
        <x:v>Multiple ritual share</x:v>
      </x:c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</x:row>
    <x:row r="6" ht="23" customHeight="1">
      <x:c r="A6" s="15"/>
      <x:c r="B6" s="15"/>
      <x:c r="C6" s="7"/>
      <x:c r="D6" s="7"/>
      <x:c r="E6" s="7"/>
      <x:c r="F6" s="7"/>
      <x:c r="G6" s="7"/>
      <x:c r="H6" s="7"/>
      <x:c r="I6" s="7"/>
      <x:c r="J6" s="14" t="str">
        <x:f>IF(A6="","",IF(OR(COUNT(E6:H6)&lt;&gt;4,D6="",I6="",F6&gt;E6,G6&gt;F6,H6&gt;F6),"Missing / invalid",IF(E6=0,"n.a.",F6/E6)))</x:f>
      </x:c>
      <x:c r="K6" s="14" t="str">
        <x:f>IF(A6="","",IF(OR(COUNT(E6:H6)&lt;&gt;4,D6="",I6="",F6&gt;E6,G6&gt;F6,H6&gt;F6),"Missing / invalid",IF(F6=0,"n.a.",G6/F6)))</x:f>
      </x:c>
      <x:c r="L6" s="14" t="str">
        <x:f>IF(A6="","",IF(OR(COUNT(E6:H6)&lt;&gt;4,D6="",I6="",F6&gt;E6,G6&gt;F6,H6&gt;F6),"Missing / invalid",IF(F6=0,"n.a.",H6/F6)))</x:f>
      </x:c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</x:row>
    <x:row r="7" ht="23" customHeight="1">
      <x:c r="A7" s="15"/>
      <x:c r="B7" s="15"/>
      <x:c r="C7" s="7"/>
      <x:c r="D7" s="7"/>
      <x:c r="E7" s="7"/>
      <x:c r="F7" s="7"/>
      <x:c r="G7" s="7"/>
      <x:c r="H7" s="7"/>
      <x:c r="I7" s="7"/>
      <x:c r="J7" s="14" t="str">
        <x:f>IF(A7="","",IF(OR(COUNT(E7:H7)&lt;&gt;4,D7="",I7="",F7&gt;E7,G7&gt;F7,H7&gt;F7),"Missing / invalid",IF(E7=0,"n.a.",F7/E7)))</x:f>
      </x:c>
      <x:c r="K7" s="14" t="str">
        <x:f>IF(A7="","",IF(OR(COUNT(E7:H7)&lt;&gt;4,D7="",I7="",F7&gt;E7,G7&gt;F7,H7&gt;F7),"Missing / invalid",IF(F7=0,"n.a.",G7/F7)))</x:f>
      </x:c>
      <x:c r="L7" s="14" t="str">
        <x:f>IF(A7="","",IF(OR(COUNT(E7:H7)&lt;&gt;4,D7="",I7="",F7&gt;E7,G7&gt;F7,H7&gt;F7),"Missing / invalid",IF(F7=0,"n.a.",H7/F7)))</x:f>
      </x:c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</x:row>
    <x:row r="8" ht="23" customHeight="1">
      <x:c r="A8" s="15"/>
      <x:c r="B8" s="15"/>
      <x:c r="C8" s="7"/>
      <x:c r="D8" s="7"/>
      <x:c r="E8" s="7"/>
      <x:c r="F8" s="7"/>
      <x:c r="G8" s="7"/>
      <x:c r="H8" s="7"/>
      <x:c r="I8" s="7"/>
      <x:c r="J8" s="14" t="str">
        <x:f>IF(A8="","",IF(OR(COUNT(E8:H8)&lt;&gt;4,D8="",I8="",F8&gt;E8,G8&gt;F8,H8&gt;F8),"Missing / invalid",IF(E8=0,"n.a.",F8/E8)))</x:f>
      </x:c>
      <x:c r="K8" s="14" t="str">
        <x:f>IF(A8="","",IF(OR(COUNT(E8:H8)&lt;&gt;4,D8="",I8="",F8&gt;E8,G8&gt;F8,H8&gt;F8),"Missing / invalid",IF(F8=0,"n.a.",G8/F8)))</x:f>
      </x:c>
      <x:c r="L8" s="14" t="str">
        <x:f>IF(A8="","",IF(OR(COUNT(E8:H8)&lt;&gt;4,D8="",I8="",F8&gt;E8,G8&gt;F8,H8&gt;F8),"Missing / invalid",IF(F8=0,"n.a.",H8/F8)))</x:f>
      </x:c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</x:row>
    <x:row r="9" ht="23" customHeight="1">
      <x:c r="A9" s="15"/>
      <x:c r="B9" s="15"/>
      <x:c r="C9" s="7"/>
      <x:c r="D9" s="7"/>
      <x:c r="E9" s="7"/>
      <x:c r="F9" s="7"/>
      <x:c r="G9" s="7"/>
      <x:c r="H9" s="7"/>
      <x:c r="I9" s="7"/>
      <x:c r="J9" s="14" t="str">
        <x:f>IF(A9="","",IF(OR(COUNT(E9:H9)&lt;&gt;4,D9="",I9="",F9&gt;E9,G9&gt;F9,H9&gt;F9),"Missing / invalid",IF(E9=0,"n.a.",F9/E9)))</x:f>
      </x:c>
      <x:c r="K9" s="14" t="str">
        <x:f>IF(A9="","",IF(OR(COUNT(E9:H9)&lt;&gt;4,D9="",I9="",F9&gt;E9,G9&gt;F9,H9&gt;F9),"Missing / invalid",IF(F9=0,"n.a.",G9/F9)))</x:f>
      </x:c>
      <x:c r="L9" s="14" t="str">
        <x:f>IF(A9="","",IF(OR(COUNT(E9:H9)&lt;&gt;4,D9="",I9="",F9&gt;E9,G9&gt;F9,H9&gt;F9),"Missing / invalid",IF(F9=0,"n.a.",H9/F9)))</x:f>
      </x:c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</x:row>
    <x:row r="10" ht="23" customHeight="1">
      <x:c r="A10" s="15"/>
      <x:c r="B10" s="15"/>
      <x:c r="C10" s="7"/>
      <x:c r="D10" s="7"/>
      <x:c r="E10" s="7"/>
      <x:c r="F10" s="7"/>
      <x:c r="G10" s="7"/>
      <x:c r="H10" s="7"/>
      <x:c r="I10" s="7"/>
      <x:c r="J10" s="14" t="str">
        <x:f>IF(A10="","",IF(OR(COUNT(E10:H10)&lt;&gt;4,D10="",I10="",F10&gt;E10,G10&gt;F10,H10&gt;F10),"Missing / invalid",IF(E10=0,"n.a.",F10/E10)))</x:f>
      </x:c>
      <x:c r="K10" s="14" t="str">
        <x:f>IF(A10="","",IF(OR(COUNT(E10:H10)&lt;&gt;4,D10="",I10="",F10&gt;E10,G10&gt;F10,H10&gt;F10),"Missing / invalid",IF(F10=0,"n.a.",G10/F10)))</x:f>
      </x:c>
      <x:c r="L10" s="14" t="str">
        <x:f>IF(A10="","",IF(OR(COUNT(E10:H10)&lt;&gt;4,D10="",I10="",F10&gt;E10,G10&gt;F10,H10&gt;F10),"Missing / invalid",IF(F10=0,"n.a.",H10/F10)))</x:f>
      </x:c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</x:row>
    <x:row r="11" ht="23" customHeight="1">
      <x:c r="A11" s="15"/>
      <x:c r="B11" s="15"/>
      <x:c r="C11" s="7"/>
      <x:c r="D11" s="7"/>
      <x:c r="E11" s="7"/>
      <x:c r="F11" s="7"/>
      <x:c r="G11" s="7"/>
      <x:c r="H11" s="7"/>
      <x:c r="I11" s="7"/>
      <x:c r="J11" s="14" t="str">
        <x:f>IF(A11="","",IF(OR(COUNT(E11:H11)&lt;&gt;4,D11="",I11="",F11&gt;E11,G11&gt;F11,H11&gt;F11),"Missing / invalid",IF(E11=0,"n.a.",F11/E11)))</x:f>
      </x:c>
      <x:c r="K11" s="14" t="str">
        <x:f>IF(A11="","",IF(OR(COUNT(E11:H11)&lt;&gt;4,D11="",I11="",F11&gt;E11,G11&gt;F11,H11&gt;F11),"Missing / invalid",IF(F11=0,"n.a.",G11/F11)))</x:f>
      </x:c>
      <x:c r="L11" s="14" t="str">
        <x:f>IF(A11="","",IF(OR(COUNT(E11:H11)&lt;&gt;4,D11="",I11="",F11&gt;E11,G11&gt;F11,H11&gt;F11),"Missing / invalid",IF(F11=0,"n.a.",H11/F11)))</x:f>
      </x:c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</x:row>
    <x:row r="12" ht="23" customHeight="1">
      <x:c r="A12" s="15"/>
      <x:c r="B12" s="15"/>
      <x:c r="C12" s="7"/>
      <x:c r="D12" s="7"/>
      <x:c r="E12" s="7"/>
      <x:c r="F12" s="7"/>
      <x:c r="G12" s="7"/>
      <x:c r="H12" s="7"/>
      <x:c r="I12" s="7"/>
      <x:c r="J12" s="14" t="str">
        <x:f>IF(A12="","",IF(OR(COUNT(E12:H12)&lt;&gt;4,D12="",I12="",F12&gt;E12,G12&gt;F12,H12&gt;F12),"Missing / invalid",IF(E12=0,"n.a.",F12/E12)))</x:f>
      </x:c>
      <x:c r="K12" s="14" t="str">
        <x:f>IF(A12="","",IF(OR(COUNT(E12:H12)&lt;&gt;4,D12="",I12="",F12&gt;E12,G12&gt;F12,H12&gt;F12),"Missing / invalid",IF(F12=0,"n.a.",G12/F12)))</x:f>
      </x:c>
      <x:c r="L12" s="14" t="str">
        <x:f>IF(A12="","",IF(OR(COUNT(E12:H12)&lt;&gt;4,D12="",I12="",F12&gt;E12,G12&gt;F12,H12&gt;F12),"Missing / invalid",IF(F12=0,"n.a.",H12/F12)))</x:f>
      </x:c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</x:row>
    <x:row r="13" ht="23" customHeight="1">
      <x:c r="A13" s="15"/>
      <x:c r="B13" s="15"/>
      <x:c r="C13" s="7"/>
      <x:c r="D13" s="7"/>
      <x:c r="E13" s="7"/>
      <x:c r="F13" s="7"/>
      <x:c r="G13" s="7"/>
      <x:c r="H13" s="7"/>
      <x:c r="I13" s="7"/>
      <x:c r="J13" s="14" t="str">
        <x:f>IF(A13="","",IF(OR(COUNT(E13:H13)&lt;&gt;4,D13="",I13="",F13&gt;E13,G13&gt;F13,H13&gt;F13),"Missing / invalid",IF(E13=0,"n.a.",F13/E13)))</x:f>
      </x:c>
      <x:c r="K13" s="14" t="str">
        <x:f>IF(A13="","",IF(OR(COUNT(E13:H13)&lt;&gt;4,D13="",I13="",F13&gt;E13,G13&gt;F13,H13&gt;F13),"Missing / invalid",IF(F13=0,"n.a.",G13/F13)))</x:f>
      </x:c>
      <x:c r="L13" s="14" t="str">
        <x:f>IF(A13="","",IF(OR(COUNT(E13:H13)&lt;&gt;4,D13="",I13="",F13&gt;E13,G13&gt;F13,H13&gt;F13),"Missing / invalid",IF(F13=0,"n.a.",H13/F13)))</x:f>
      </x:c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</x:row>
    <x:row r="14" ht="23" customHeight="1">
      <x:c r="A14" s="15"/>
      <x:c r="B14" s="15"/>
      <x:c r="C14" s="7"/>
      <x:c r="D14" s="7"/>
      <x:c r="E14" s="7"/>
      <x:c r="F14" s="7"/>
      <x:c r="G14" s="7"/>
      <x:c r="H14" s="7"/>
      <x:c r="I14" s="7"/>
      <x:c r="J14" s="14" t="str">
        <x:f>IF(A14="","",IF(OR(COUNT(E14:H14)&lt;&gt;4,D14="",I14="",F14&gt;E14,G14&gt;F14,H14&gt;F14),"Missing / invalid",IF(E14=0,"n.a.",F14/E14)))</x:f>
      </x:c>
      <x:c r="K14" s="14" t="str">
        <x:f>IF(A14="","",IF(OR(COUNT(E14:H14)&lt;&gt;4,D14="",I14="",F14&gt;E14,G14&gt;F14,H14&gt;F14),"Missing / invalid",IF(F14=0,"n.a.",G14/F14)))</x:f>
      </x:c>
      <x:c r="L14" s="14" t="str">
        <x:f>IF(A14="","",IF(OR(COUNT(E14:H14)&lt;&gt;4,D14="",I14="",F14&gt;E14,G14&gt;F14,H14&gt;F14),"Missing / invalid",IF(F14=0,"n.a.",H14/F14)))</x:f>
      </x:c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</x:row>
    <x:row r="15" ht="23" customHeight="1">
      <x:c r="A15" s="15"/>
      <x:c r="B15" s="15"/>
      <x:c r="C15" s="7"/>
      <x:c r="D15" s="7"/>
      <x:c r="E15" s="7"/>
      <x:c r="F15" s="7"/>
      <x:c r="G15" s="7"/>
      <x:c r="H15" s="7"/>
      <x:c r="I15" s="7"/>
      <x:c r="J15" s="14" t="str">
        <x:f>IF(A15="","",IF(OR(COUNT(E15:H15)&lt;&gt;4,D15="",I15="",F15&gt;E15,G15&gt;F15,H15&gt;F15),"Missing / invalid",IF(E15=0,"n.a.",F15/E15)))</x:f>
      </x:c>
      <x:c r="K15" s="14" t="str">
        <x:f>IF(A15="","",IF(OR(COUNT(E15:H15)&lt;&gt;4,D15="",I15="",F15&gt;E15,G15&gt;F15,H15&gt;F15),"Missing / invalid",IF(F15=0,"n.a.",G15/F15)))</x:f>
      </x:c>
      <x:c r="L15" s="14" t="str">
        <x:f>IF(A15="","",IF(OR(COUNT(E15:H15)&lt;&gt;4,D15="",I15="",F15&gt;E15,G15&gt;F15,H15&gt;F15),"Missing / invalid",IF(F15=0,"n.a.",H15/F15)))</x:f>
      </x:c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</x:row>
    <x:row r="16" ht="23" customHeight="1">
      <x:c r="A16" s="15"/>
      <x:c r="B16" s="15"/>
      <x:c r="C16" s="7"/>
      <x:c r="D16" s="7"/>
      <x:c r="E16" s="7"/>
      <x:c r="F16" s="7"/>
      <x:c r="G16" s="7"/>
      <x:c r="H16" s="7"/>
      <x:c r="I16" s="7"/>
      <x:c r="J16" s="14" t="str">
        <x:f>IF(A16="","",IF(OR(COUNT(E16:H16)&lt;&gt;4,D16="",I16="",F16&gt;E16,G16&gt;F16,H16&gt;F16),"Missing / invalid",IF(E16=0,"n.a.",F16/E16)))</x:f>
      </x:c>
      <x:c r="K16" s="14" t="str">
        <x:f>IF(A16="","",IF(OR(COUNT(E16:H16)&lt;&gt;4,D16="",I16="",F16&gt;E16,G16&gt;F16,H16&gt;F16),"Missing / invalid",IF(F16=0,"n.a.",G16/F16)))</x:f>
      </x:c>
      <x:c r="L16" s="14" t="str">
        <x:f>IF(A16="","",IF(OR(COUNT(E16:H16)&lt;&gt;4,D16="",I16="",F16&gt;E16,G16&gt;F16,H16&gt;F16),"Missing / invalid",IF(F16=0,"n.a.",H16/F16)))</x:f>
      </x:c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</x:row>
    <x:row r="17" ht="23" customHeight="1">
      <x:c r="A17" s="15"/>
      <x:c r="B17" s="15"/>
      <x:c r="C17" s="7"/>
      <x:c r="D17" s="7"/>
      <x:c r="E17" s="7"/>
      <x:c r="F17" s="7"/>
      <x:c r="G17" s="7"/>
      <x:c r="H17" s="7"/>
      <x:c r="I17" s="7"/>
      <x:c r="J17" s="14" t="str">
        <x:f>IF(A17="","",IF(OR(COUNT(E17:H17)&lt;&gt;4,D17="",I17="",F17&gt;E17,G17&gt;F17,H17&gt;F17),"Missing / invalid",IF(E17=0,"n.a.",F17/E17)))</x:f>
      </x:c>
      <x:c r="K17" s="14" t="str">
        <x:f>IF(A17="","",IF(OR(COUNT(E17:H17)&lt;&gt;4,D17="",I17="",F17&gt;E17,G17&gt;F17,H17&gt;F17),"Missing / invalid",IF(F17=0,"n.a.",G17/F17)))</x:f>
      </x:c>
      <x:c r="L17" s="14" t="str">
        <x:f>IF(A17="","",IF(OR(COUNT(E17:H17)&lt;&gt;4,D17="",I17="",F17&gt;E17,G17&gt;F17,H17&gt;F17),"Missing / invalid",IF(F17=0,"n.a.",H17/F17)))</x:f>
      </x:c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</x:row>
    <x:row r="18" ht="23" customHeight="1">
      <x:c r="A18" s="15"/>
      <x:c r="B18" s="15"/>
      <x:c r="C18" s="7"/>
      <x:c r="D18" s="7"/>
      <x:c r="E18" s="7"/>
      <x:c r="F18" s="7"/>
      <x:c r="G18" s="7"/>
      <x:c r="H18" s="7"/>
      <x:c r="I18" s="7"/>
      <x:c r="J18" s="14" t="str">
        <x:f>IF(A18="","",IF(OR(COUNT(E18:H18)&lt;&gt;4,D18="",I18="",F18&gt;E18,G18&gt;F18,H18&gt;F18),"Missing / invalid",IF(E18=0,"n.a.",F18/E18)))</x:f>
      </x:c>
      <x:c r="K18" s="14" t="str">
        <x:f>IF(A18="","",IF(OR(COUNT(E18:H18)&lt;&gt;4,D18="",I18="",F18&gt;E18,G18&gt;F18,H18&gt;F18),"Missing / invalid",IF(F18=0,"n.a.",G18/F18)))</x:f>
      </x:c>
      <x:c r="L18" s="14" t="str">
        <x:f>IF(A18="","",IF(OR(COUNT(E18:H18)&lt;&gt;4,D18="",I18="",F18&gt;E18,G18&gt;F18,H18&gt;F18),"Missing / invalid",IF(F18=0,"n.a.",H18/F18)))</x:f>
      </x:c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</x:row>
    <x:row r="19" ht="23" customHeight="1">
      <x:c r="A19" s="15"/>
      <x:c r="B19" s="15"/>
      <x:c r="C19" s="7"/>
      <x:c r="D19" s="7"/>
      <x:c r="E19" s="7"/>
      <x:c r="F19" s="7"/>
      <x:c r="G19" s="7"/>
      <x:c r="H19" s="7"/>
      <x:c r="I19" s="7"/>
      <x:c r="J19" s="14" t="str">
        <x:f>IF(A19="","",IF(OR(COUNT(E19:H19)&lt;&gt;4,D19="",I19="",F19&gt;E19,G19&gt;F19,H19&gt;F19),"Missing / invalid",IF(E19=0,"n.a.",F19/E19)))</x:f>
      </x:c>
      <x:c r="K19" s="14" t="str">
        <x:f>IF(A19="","",IF(OR(COUNT(E19:H19)&lt;&gt;4,D19="",I19="",F19&gt;E19,G19&gt;F19,H19&gt;F19),"Missing / invalid",IF(F19=0,"n.a.",G19/F19)))</x:f>
      </x:c>
      <x:c r="L19" s="14" t="str">
        <x:f>IF(A19="","",IF(OR(COUNT(E19:H19)&lt;&gt;4,D19="",I19="",F19&gt;E19,G19&gt;F19,H19&gt;F19),"Missing / invalid",IF(F19=0,"n.a.",H19/F19)))</x:f>
      </x:c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</x:row>
    <x:row r="20" ht="23" customHeight="1">
      <x:c r="A20" s="15"/>
      <x:c r="B20" s="15"/>
      <x:c r="C20" s="7"/>
      <x:c r="D20" s="7"/>
      <x:c r="E20" s="7"/>
      <x:c r="F20" s="7"/>
      <x:c r="G20" s="7"/>
      <x:c r="H20" s="7"/>
      <x:c r="I20" s="7"/>
      <x:c r="J20" s="14" t="str">
        <x:f>IF(A20="","",IF(OR(COUNT(E20:H20)&lt;&gt;4,D20="",I20="",F20&gt;E20,G20&gt;F20,H20&gt;F20),"Missing / invalid",IF(E20=0,"n.a.",F20/E20)))</x:f>
      </x:c>
      <x:c r="K20" s="14" t="str">
        <x:f>IF(A20="","",IF(OR(COUNT(E20:H20)&lt;&gt;4,D20="",I20="",F20&gt;E20,G20&gt;F20,H20&gt;F20),"Missing / invalid",IF(F20=0,"n.a.",G20/F20)))</x:f>
      </x:c>
      <x:c r="L20" s="14" t="str">
        <x:f>IF(A20="","",IF(OR(COUNT(E20:H20)&lt;&gt;4,D20="",I20="",F20&gt;E20,G20&gt;F20,H20&gt;F20),"Missing / invalid",IF(F20=0,"n.a.",H20/F20)))</x:f>
      </x:c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</x:row>
    <x:row r="21" ht="23" customHeight="1">
      <x:c r="A21" s="15"/>
      <x:c r="B21" s="15"/>
      <x:c r="C21" s="7"/>
      <x:c r="D21" s="7"/>
      <x:c r="E21" s="7"/>
      <x:c r="F21" s="7"/>
      <x:c r="G21" s="7"/>
      <x:c r="H21" s="7"/>
      <x:c r="I21" s="7"/>
      <x:c r="J21" s="14" t="str">
        <x:f>IF(A21="","",IF(OR(COUNT(E21:H21)&lt;&gt;4,D21="",I21="",F21&gt;E21,G21&gt;F21,H21&gt;F21),"Missing / invalid",IF(E21=0,"n.a.",F21/E21)))</x:f>
      </x:c>
      <x:c r="K21" s="14" t="str">
        <x:f>IF(A21="","",IF(OR(COUNT(E21:H21)&lt;&gt;4,D21="",I21="",F21&gt;E21,G21&gt;F21,H21&gt;F21),"Missing / invalid",IF(F21=0,"n.a.",G21/F21)))</x:f>
      </x:c>
      <x:c r="L21" s="14" t="str">
        <x:f>IF(A21="","",IF(OR(COUNT(E21:H21)&lt;&gt;4,D21="",I21="",F21&gt;E21,G21&gt;F21,H21&gt;F21),"Missing / invalid",IF(F21=0,"n.a.",H21/F21)))</x:f>
      </x:c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</x:row>
    <x:row r="22" ht="23" customHeight="1">
      <x:c r="A22" s="15"/>
      <x:c r="B22" s="15"/>
      <x:c r="C22" s="7"/>
      <x:c r="D22" s="7"/>
      <x:c r="E22" s="7"/>
      <x:c r="F22" s="7"/>
      <x:c r="G22" s="7"/>
      <x:c r="H22" s="7"/>
      <x:c r="I22" s="7"/>
      <x:c r="J22" s="14" t="str">
        <x:f>IF(A22="","",IF(OR(COUNT(E22:H22)&lt;&gt;4,D22="",I22="",F22&gt;E22,G22&gt;F22,H22&gt;F22),"Missing / invalid",IF(E22=0,"n.a.",F22/E22)))</x:f>
      </x:c>
      <x:c r="K22" s="14" t="str">
        <x:f>IF(A22="","",IF(OR(COUNT(E22:H22)&lt;&gt;4,D22="",I22="",F22&gt;E22,G22&gt;F22,H22&gt;F22),"Missing / invalid",IF(F22=0,"n.a.",G22/F22)))</x:f>
      </x:c>
      <x:c r="L22" s="14" t="str">
        <x:f>IF(A22="","",IF(OR(COUNT(E22:H22)&lt;&gt;4,D22="",I22="",F22&gt;E22,G22&gt;F22,H22&gt;F22),"Missing / invalid",IF(F22=0,"n.a.",H22/F22)))</x:f>
      </x:c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</x:row>
    <x:row r="23" ht="23" customHeight="1">
      <x:c r="A23" s="15"/>
      <x:c r="B23" s="15"/>
      <x:c r="C23" s="7"/>
      <x:c r="D23" s="7"/>
      <x:c r="E23" s="7"/>
      <x:c r="F23" s="7"/>
      <x:c r="G23" s="7"/>
      <x:c r="H23" s="7"/>
      <x:c r="I23" s="7"/>
      <x:c r="J23" s="14" t="str">
        <x:f>IF(A23="","",IF(OR(COUNT(E23:H23)&lt;&gt;4,D23="",I23="",F23&gt;E23,G23&gt;F23,H23&gt;F23),"Missing / invalid",IF(E23=0,"n.a.",F23/E23)))</x:f>
      </x:c>
      <x:c r="K23" s="14" t="str">
        <x:f>IF(A23="","",IF(OR(COUNT(E23:H23)&lt;&gt;4,D23="",I23="",F23&gt;E23,G23&gt;F23,H23&gt;F23),"Missing / invalid",IF(F23=0,"n.a.",G23/F23)))</x:f>
      </x:c>
      <x:c r="L23" s="14" t="str">
        <x:f>IF(A23="","",IF(OR(COUNT(E23:H23)&lt;&gt;4,D23="",I23="",F23&gt;E23,G23&gt;F23,H23&gt;F23),"Missing / invalid",IF(F23=0,"n.a.",H23/F23)))</x:f>
      </x:c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</x:row>
    <x:row r="24" ht="23" customHeight="1">
      <x:c r="A24" s="15"/>
      <x:c r="B24" s="15"/>
      <x:c r="C24" s="7"/>
      <x:c r="D24" s="7"/>
      <x:c r="E24" s="7"/>
      <x:c r="F24" s="7"/>
      <x:c r="G24" s="7"/>
      <x:c r="H24" s="7"/>
      <x:c r="I24" s="7"/>
      <x:c r="J24" s="14" t="str">
        <x:f>IF(A24="","",IF(OR(COUNT(E24:H24)&lt;&gt;4,D24="",I24="",F24&gt;E24,G24&gt;F24,H24&gt;F24),"Missing / invalid",IF(E24=0,"n.a.",F24/E24)))</x:f>
      </x:c>
      <x:c r="K24" s="14" t="str">
        <x:f>IF(A24="","",IF(OR(COUNT(E24:H24)&lt;&gt;4,D24="",I24="",F24&gt;E24,G24&gt;F24,H24&gt;F24),"Missing / invalid",IF(F24=0,"n.a.",G24/F24)))</x:f>
      </x:c>
      <x:c r="L24" s="14" t="str">
        <x:f>IF(A24="","",IF(OR(COUNT(E24:H24)&lt;&gt;4,D24="",I24="",F24&gt;E24,G24&gt;F24,H24&gt;F24),"Missing / invalid",IF(F24=0,"n.a.",H24/F24)))</x:f>
      </x:c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</x:row>
    <x:row r="25" ht="23" customHeight="1">
      <x:c r="A25" s="15"/>
      <x:c r="B25" s="15"/>
      <x:c r="C25" s="7"/>
      <x:c r="D25" s="7"/>
      <x:c r="E25" s="7"/>
      <x:c r="F25" s="7"/>
      <x:c r="G25" s="7"/>
      <x:c r="H25" s="7"/>
      <x:c r="I25" s="7"/>
      <x:c r="J25" s="14" t="str">
        <x:f>IF(A25="","",IF(OR(COUNT(E25:H25)&lt;&gt;4,D25="",I25="",F25&gt;E25,G25&gt;F25,H25&gt;F25),"Missing / invalid",IF(E25=0,"n.a.",F25/E25)))</x:f>
      </x:c>
      <x:c r="K25" s="14" t="str">
        <x:f>IF(A25="","",IF(OR(COUNT(E25:H25)&lt;&gt;4,D25="",I25="",F25&gt;E25,G25&gt;F25,H25&gt;F25),"Missing / invalid",IF(F25=0,"n.a.",G25/F25)))</x:f>
      </x:c>
      <x:c r="L25" s="14" t="str">
        <x:f>IF(A25="","",IF(OR(COUNT(E25:H25)&lt;&gt;4,D25="",I25="",F25&gt;E25,G25&gt;F25,H25&gt;F25),"Missing / invalid",IF(F25=0,"n.a.",H25/F25)))</x:f>
      </x:c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</x:row>
    <x:row r="26" ht="23" customHeight="1">
      <x:c r="A26" s="15"/>
      <x:c r="B26" s="15"/>
      <x:c r="C26" s="7"/>
      <x:c r="D26" s="7"/>
      <x:c r="E26" s="7"/>
      <x:c r="F26" s="7"/>
      <x:c r="G26" s="7"/>
      <x:c r="H26" s="7"/>
      <x:c r="I26" s="7"/>
      <x:c r="J26" s="14" t="str">
        <x:f>IF(A26="","",IF(OR(COUNT(E26:H26)&lt;&gt;4,D26="",I26="",F26&gt;E26,G26&gt;F26,H26&gt;F26),"Missing / invalid",IF(E26=0,"n.a.",F26/E26)))</x:f>
      </x:c>
      <x:c r="K26" s="14" t="str">
        <x:f>IF(A26="","",IF(OR(COUNT(E26:H26)&lt;&gt;4,D26="",I26="",F26&gt;E26,G26&gt;F26,H26&gt;F26),"Missing / invalid",IF(F26=0,"n.a.",G26/F26)))</x:f>
      </x:c>
      <x:c r="L26" s="14" t="str">
        <x:f>IF(A26="","",IF(OR(COUNT(E26:H26)&lt;&gt;4,D26="",I26="",F26&gt;E26,G26&gt;F26,H26&gt;F26),"Missing / invalid",IF(F26=0,"n.a.",H26/F26)))</x:f>
      </x:c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</x:row>
    <x:row r="27" ht="23" customHeight="1">
      <x:c r="A27" s="15"/>
      <x:c r="B27" s="15"/>
      <x:c r="C27" s="7"/>
      <x:c r="D27" s="7"/>
      <x:c r="E27" s="7"/>
      <x:c r="F27" s="7"/>
      <x:c r="G27" s="7"/>
      <x:c r="H27" s="7"/>
      <x:c r="I27" s="7"/>
      <x:c r="J27" s="14" t="str">
        <x:f>IF(A27="","",IF(OR(COUNT(E27:H27)&lt;&gt;4,D27="",I27="",F27&gt;E27,G27&gt;F27,H27&gt;F27),"Missing / invalid",IF(E27=0,"n.a.",F27/E27)))</x:f>
      </x:c>
      <x:c r="K27" s="14" t="str">
        <x:f>IF(A27="","",IF(OR(COUNT(E27:H27)&lt;&gt;4,D27="",I27="",F27&gt;E27,G27&gt;F27,H27&gt;F27),"Missing / invalid",IF(F27=0,"n.a.",G27/F27)))</x:f>
      </x:c>
      <x:c r="L27" s="14" t="str">
        <x:f>IF(A27="","",IF(OR(COUNT(E27:H27)&lt;&gt;4,D27="",I27="",F27&gt;E27,G27&gt;F27,H27&gt;F27),"Missing / invalid",IF(F27=0,"n.a.",H27/F27)))</x:f>
      </x:c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</x:row>
    <x:row r="28" ht="23" customHeight="1">
      <x:c r="A28" s="15"/>
      <x:c r="B28" s="15"/>
      <x:c r="C28" s="7"/>
      <x:c r="D28" s="7"/>
      <x:c r="E28" s="7"/>
      <x:c r="F28" s="7"/>
      <x:c r="G28" s="7"/>
      <x:c r="H28" s="7"/>
      <x:c r="I28" s="7"/>
      <x:c r="J28" s="14" t="str">
        <x:f>IF(A28="","",IF(OR(COUNT(E28:H28)&lt;&gt;4,D28="",I28="",F28&gt;E28,G28&gt;F28,H28&gt;F28),"Missing / invalid",IF(E28=0,"n.a.",F28/E28)))</x:f>
      </x:c>
      <x:c r="K28" s="14" t="str">
        <x:f>IF(A28="","",IF(OR(COUNT(E28:H28)&lt;&gt;4,D28="",I28="",F28&gt;E28,G28&gt;F28,H28&gt;F28),"Missing / invalid",IF(F28=0,"n.a.",G28/F28)))</x:f>
      </x:c>
      <x:c r="L28" s="14" t="str">
        <x:f>IF(A28="","",IF(OR(COUNT(E28:H28)&lt;&gt;4,D28="",I28="",F28&gt;E28,G28&gt;F28,H28&gt;F28),"Missing / invalid",IF(F28=0,"n.a.",H28/F28)))</x:f>
      </x:c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</x:row>
    <x:row r="29" ht="23" customHeight="1">
      <x:c r="A29" s="15"/>
      <x:c r="B29" s="15"/>
      <x:c r="C29" s="7"/>
      <x:c r="D29" s="7"/>
      <x:c r="E29" s="7"/>
      <x:c r="F29" s="7"/>
      <x:c r="G29" s="7"/>
      <x:c r="H29" s="7"/>
      <x:c r="I29" s="7"/>
      <x:c r="J29" s="14" t="str">
        <x:f>IF(A29="","",IF(OR(COUNT(E29:H29)&lt;&gt;4,D29="",I29="",F29&gt;E29,G29&gt;F29,H29&gt;F29),"Missing / invalid",IF(E29=0,"n.a.",F29/E29)))</x:f>
      </x:c>
      <x:c r="K29" s="14" t="str">
        <x:f>IF(A29="","",IF(OR(COUNT(E29:H29)&lt;&gt;4,D29="",I29="",F29&gt;E29,G29&gt;F29,H29&gt;F29),"Missing / invalid",IF(F29=0,"n.a.",G29/F29)))</x:f>
      </x:c>
      <x:c r="L29" s="14" t="str">
        <x:f>IF(A29="","",IF(OR(COUNT(E29:H29)&lt;&gt;4,D29="",I29="",F29&gt;E29,G29&gt;F29,H29&gt;F29),"Missing / invalid",IF(F29=0,"n.a.",H29/F29)))</x:f>
      </x:c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</x:row>
    <x:row r="30" ht="23" customHeight="1">
      <x:c r="A30" s="15"/>
      <x:c r="B30" s="15"/>
      <x:c r="C30" s="7"/>
      <x:c r="D30" s="7"/>
      <x:c r="E30" s="7"/>
      <x:c r="F30" s="7"/>
      <x:c r="G30" s="7"/>
      <x:c r="H30" s="7"/>
      <x:c r="I30" s="7"/>
      <x:c r="J30" s="14" t="str">
        <x:f>IF(A30="","",IF(OR(COUNT(E30:H30)&lt;&gt;4,D30="",I30="",F30&gt;E30,G30&gt;F30,H30&gt;F30),"Missing / invalid",IF(E30=0,"n.a.",F30/E30)))</x:f>
      </x:c>
      <x:c r="K30" s="14" t="str">
        <x:f>IF(A30="","",IF(OR(COUNT(E30:H30)&lt;&gt;4,D30="",I30="",F30&gt;E30,G30&gt;F30,H30&gt;F30),"Missing / invalid",IF(F30=0,"n.a.",G30/F30)))</x:f>
      </x:c>
      <x:c r="L30" s="14" t="str">
        <x:f>IF(A30="","",IF(OR(COUNT(E30:H30)&lt;&gt;4,D30="",I30="",F30&gt;E30,G30&gt;F30,H30&gt;F30),"Missing / invalid",IF(F30=0,"n.a.",H30/F30)))</x:f>
      </x:c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</x:row>
    <x:row r="31" ht="23" customHeight="1">
      <x:c r="A31" s="15"/>
      <x:c r="B31" s="15"/>
      <x:c r="C31" s="7"/>
      <x:c r="D31" s="7"/>
      <x:c r="E31" s="7"/>
      <x:c r="F31" s="7"/>
      <x:c r="G31" s="7"/>
      <x:c r="H31" s="7"/>
      <x:c r="I31" s="7"/>
      <x:c r="J31" s="14" t="str">
        <x:f>IF(A31="","",IF(OR(COUNT(E31:H31)&lt;&gt;4,D31="",I31="",F31&gt;E31,G31&gt;F31,H31&gt;F31),"Missing / invalid",IF(E31=0,"n.a.",F31/E31)))</x:f>
      </x:c>
      <x:c r="K31" s="14" t="str">
        <x:f>IF(A31="","",IF(OR(COUNT(E31:H31)&lt;&gt;4,D31="",I31="",F31&gt;E31,G31&gt;F31,H31&gt;F31),"Missing / invalid",IF(F31=0,"n.a.",G31/F31)))</x:f>
      </x:c>
      <x:c r="L31" s="14" t="str">
        <x:f>IF(A31="","",IF(OR(COUNT(E31:H31)&lt;&gt;4,D31="",I31="",F31&gt;E31,G31&gt;F31,H31&gt;F31),"Missing / invalid",IF(F31=0,"n.a.",H31/F31)))</x:f>
      </x:c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</x:row>
    <x:row r="32" ht="23" customHeight="1">
      <x:c r="A32" s="15"/>
      <x:c r="B32" s="15"/>
      <x:c r="C32" s="7"/>
      <x:c r="D32" s="7"/>
      <x:c r="E32" s="7"/>
      <x:c r="F32" s="7"/>
      <x:c r="G32" s="7"/>
      <x:c r="H32" s="7"/>
      <x:c r="I32" s="7"/>
      <x:c r="J32" s="14" t="str">
        <x:f>IF(A32="","",IF(OR(COUNT(E32:H32)&lt;&gt;4,D32="",I32="",F32&gt;E32,G32&gt;F32,H32&gt;F32),"Missing / invalid",IF(E32=0,"n.a.",F32/E32)))</x:f>
      </x:c>
      <x:c r="K32" s="14" t="str">
        <x:f>IF(A32="","",IF(OR(COUNT(E32:H32)&lt;&gt;4,D32="",I32="",F32&gt;E32,G32&gt;F32,H32&gt;F32),"Missing / invalid",IF(F32=0,"n.a.",G32/F32)))</x:f>
      </x:c>
      <x:c r="L32" s="14" t="str">
        <x:f>IF(A32="","",IF(OR(COUNT(E32:H32)&lt;&gt;4,D32="",I32="",F32&gt;E32,G32&gt;F32,H32&gt;F32),"Missing / invalid",IF(F32=0,"n.a.",H32/F32)))</x:f>
      </x:c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</x:row>
    <x:row r="33" ht="23" customHeight="1">
      <x:c r="A33" s="15"/>
      <x:c r="B33" s="15"/>
      <x:c r="C33" s="7"/>
      <x:c r="D33" s="7"/>
      <x:c r="E33" s="7"/>
      <x:c r="F33" s="7"/>
      <x:c r="G33" s="7"/>
      <x:c r="H33" s="7"/>
      <x:c r="I33" s="7"/>
      <x:c r="J33" s="14" t="str">
        <x:f>IF(A33="","",IF(OR(COUNT(E33:H33)&lt;&gt;4,D33="",I33="",F33&gt;E33,G33&gt;F33,H33&gt;F33),"Missing / invalid",IF(E33=0,"n.a.",F33/E33)))</x:f>
      </x:c>
      <x:c r="K33" s="14" t="str">
        <x:f>IF(A33="","",IF(OR(COUNT(E33:H33)&lt;&gt;4,D33="",I33="",F33&gt;E33,G33&gt;F33,H33&gt;F33),"Missing / invalid",IF(F33=0,"n.a.",G33/F33)))</x:f>
      </x:c>
      <x:c r="L33" s="14" t="str">
        <x:f>IF(A33="","",IF(OR(COUNT(E33:H33)&lt;&gt;4,D33="",I33="",F33&gt;E33,G33&gt;F33,H33&gt;F33),"Missing / invalid",IF(F33=0,"n.a.",H33/F33)))</x:f>
      </x:c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</x:row>
    <x:row r="34" ht="23" customHeight="1">
      <x:c r="A34" s="15"/>
      <x:c r="B34" s="15"/>
      <x:c r="C34" s="7"/>
      <x:c r="D34" s="7"/>
      <x:c r="E34" s="7"/>
      <x:c r="F34" s="7"/>
      <x:c r="G34" s="7"/>
      <x:c r="H34" s="7"/>
      <x:c r="I34" s="7"/>
      <x:c r="J34" s="14" t="str">
        <x:f>IF(A34="","",IF(OR(COUNT(E34:H34)&lt;&gt;4,D34="",I34="",F34&gt;E34,G34&gt;F34,H34&gt;F34),"Missing / invalid",IF(E34=0,"n.a.",F34/E34)))</x:f>
      </x:c>
      <x:c r="K34" s="14" t="str">
        <x:f>IF(A34="","",IF(OR(COUNT(E34:H34)&lt;&gt;4,D34="",I34="",F34&gt;E34,G34&gt;F34,H34&gt;F34),"Missing / invalid",IF(F34=0,"n.a.",G34/F34)))</x:f>
      </x:c>
      <x:c r="L34" s="14" t="str">
        <x:f>IF(A34="","",IF(OR(COUNT(E34:H34)&lt;&gt;4,D34="",I34="",F34&gt;E34,G34&gt;F34,H34&gt;F34),"Missing / invalid",IF(F34=0,"n.a.",H34/F34)))</x:f>
      </x:c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</x:row>
    <x:row r="35" ht="23" customHeight="1">
      <x:c r="A35" s="15"/>
      <x:c r="B35" s="15"/>
      <x:c r="C35" s="7"/>
      <x:c r="D35" s="7"/>
      <x:c r="E35" s="7"/>
      <x:c r="F35" s="7"/>
      <x:c r="G35" s="7"/>
      <x:c r="H35" s="7"/>
      <x:c r="I35" s="7"/>
      <x:c r="J35" s="14" t="str">
        <x:f>IF(A35="","",IF(OR(COUNT(E35:H35)&lt;&gt;4,D35="",I35="",F35&gt;E35,G35&gt;F35,H35&gt;F35),"Missing / invalid",IF(E35=0,"n.a.",F35/E35)))</x:f>
      </x:c>
      <x:c r="K35" s="14" t="str">
        <x:f>IF(A35="","",IF(OR(COUNT(E35:H35)&lt;&gt;4,D35="",I35="",F35&gt;E35,G35&gt;F35,H35&gt;F35),"Missing / invalid",IF(F35=0,"n.a.",G35/F35)))</x:f>
      </x:c>
      <x:c r="L35" s="14" t="str">
        <x:f>IF(A35="","",IF(OR(COUNT(E35:H35)&lt;&gt;4,D35="",I35="",F35&gt;E35,G35&gt;F35,H35&gt;F35),"Missing / invalid",IF(F35=0,"n.a.",H35/F35)))</x:f>
      </x:c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</x:row>
    <x:row r="36" ht="23" customHeight="1">
      <x:c r="A36" s="15"/>
      <x:c r="B36" s="15"/>
      <x:c r="C36" s="7"/>
      <x:c r="D36" s="7"/>
      <x:c r="E36" s="7"/>
      <x:c r="F36" s="7"/>
      <x:c r="G36" s="7"/>
      <x:c r="H36" s="7"/>
      <x:c r="I36" s="7"/>
      <x:c r="J36" s="14" t="str">
        <x:f>IF(A36="","",IF(OR(COUNT(E36:H36)&lt;&gt;4,D36="",I36="",F36&gt;E36,G36&gt;F36,H36&gt;F36),"Missing / invalid",IF(E36=0,"n.a.",F36/E36)))</x:f>
      </x:c>
      <x:c r="K36" s="14" t="str">
        <x:f>IF(A36="","",IF(OR(COUNT(E36:H36)&lt;&gt;4,D36="",I36="",F36&gt;E36,G36&gt;F36,H36&gt;F36),"Missing / invalid",IF(F36=0,"n.a.",G36/F36)))</x:f>
      </x:c>
      <x:c r="L36" s="14" t="str">
        <x:f>IF(A36="","",IF(OR(COUNT(E36:H36)&lt;&gt;4,D36="",I36="",F36&gt;E36,G36&gt;F36,H36&gt;F36),"Missing / invalid",IF(F36=0,"n.a.",H36/F36)))</x:f>
      </x:c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</x:row>
    <x:row r="37" ht="23" customHeight="1">
      <x:c r="A37" s="15"/>
      <x:c r="B37" s="15"/>
      <x:c r="C37" s="7"/>
      <x:c r="D37" s="7"/>
      <x:c r="E37" s="7"/>
      <x:c r="F37" s="7"/>
      <x:c r="G37" s="7"/>
      <x:c r="H37" s="7"/>
      <x:c r="I37" s="7"/>
      <x:c r="J37" s="14" t="str">
        <x:f>IF(A37="","",IF(OR(COUNT(E37:H37)&lt;&gt;4,D37="",I37="",F37&gt;E37,G37&gt;F37,H37&gt;F37),"Missing / invalid",IF(E37=0,"n.a.",F37/E37)))</x:f>
      </x:c>
      <x:c r="K37" s="14" t="str">
        <x:f>IF(A37="","",IF(OR(COUNT(E37:H37)&lt;&gt;4,D37="",I37="",F37&gt;E37,G37&gt;F37,H37&gt;F37),"Missing / invalid",IF(F37=0,"n.a.",G37/F37)))</x:f>
      </x:c>
      <x:c r="L37" s="14" t="str">
        <x:f>IF(A37="","",IF(OR(COUNT(E37:H37)&lt;&gt;4,D37="",I37="",F37&gt;E37,G37&gt;F37,H37&gt;F37),"Missing / invalid",IF(F37=0,"n.a.",H37/F37)))</x:f>
      </x:c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</x:row>
    <x:row r="38" ht="23" customHeight="1">
      <x:c r="A38" s="15"/>
      <x:c r="B38" s="15"/>
      <x:c r="C38" s="7"/>
      <x:c r="D38" s="7"/>
      <x:c r="E38" s="7"/>
      <x:c r="F38" s="7"/>
      <x:c r="G38" s="7"/>
      <x:c r="H38" s="7"/>
      <x:c r="I38" s="7"/>
      <x:c r="J38" s="14" t="str">
        <x:f>IF(A38="","",IF(OR(COUNT(E38:H38)&lt;&gt;4,D38="",I38="",F38&gt;E38,G38&gt;F38,H38&gt;F38),"Missing / invalid",IF(E38=0,"n.a.",F38/E38)))</x:f>
      </x:c>
      <x:c r="K38" s="14" t="str">
        <x:f>IF(A38="","",IF(OR(COUNT(E38:H38)&lt;&gt;4,D38="",I38="",F38&gt;E38,G38&gt;F38,H38&gt;F38),"Missing / invalid",IF(F38=0,"n.a.",G38/F38)))</x:f>
      </x:c>
      <x:c r="L38" s="14" t="str">
        <x:f>IF(A38="","",IF(OR(COUNT(E38:H38)&lt;&gt;4,D38="",I38="",F38&gt;E38,G38&gt;F38,H38&gt;F38),"Missing / invalid",IF(F38=0,"n.a.",H38/F38)))</x:f>
      </x:c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</x:row>
    <x:row r="39" ht="23" customHeight="1">
      <x:c r="A39" s="15"/>
      <x:c r="B39" s="15"/>
      <x:c r="C39" s="7"/>
      <x:c r="D39" s="7"/>
      <x:c r="E39" s="7"/>
      <x:c r="F39" s="7"/>
      <x:c r="G39" s="7"/>
      <x:c r="H39" s="7"/>
      <x:c r="I39" s="7"/>
      <x:c r="J39" s="14" t="str">
        <x:f>IF(A39="","",IF(OR(COUNT(E39:H39)&lt;&gt;4,D39="",I39="",F39&gt;E39,G39&gt;F39,H39&gt;F39),"Missing / invalid",IF(E39=0,"n.a.",F39/E39)))</x:f>
      </x:c>
      <x:c r="K39" s="14" t="str">
        <x:f>IF(A39="","",IF(OR(COUNT(E39:H39)&lt;&gt;4,D39="",I39="",F39&gt;E39,G39&gt;F39,H39&gt;F39),"Missing / invalid",IF(F39=0,"n.a.",G39/F39)))</x:f>
      </x:c>
      <x:c r="L39" s="14" t="str">
        <x:f>IF(A39="","",IF(OR(COUNT(E39:H39)&lt;&gt;4,D39="",I39="",F39&gt;E39,G39&gt;F39,H39&gt;F39),"Missing / invalid",IF(F39=0,"n.a.",H39/F39)))</x:f>
      </x:c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</x:row>
    <x:row r="40" ht="23" customHeight="1">
      <x:c r="A40" s="15"/>
      <x:c r="B40" s="15"/>
      <x:c r="C40" s="7"/>
      <x:c r="D40" s="7"/>
      <x:c r="E40" s="7"/>
      <x:c r="F40" s="7"/>
      <x:c r="G40" s="7"/>
      <x:c r="H40" s="7"/>
      <x:c r="I40" s="7"/>
      <x:c r="J40" s="14" t="str">
        <x:f>IF(A40="","",IF(OR(COUNT(E40:H40)&lt;&gt;4,D40="",I40="",F40&gt;E40,G40&gt;F40,H40&gt;F40),"Missing / invalid",IF(E40=0,"n.a.",F40/E40)))</x:f>
      </x:c>
      <x:c r="K40" s="14" t="str">
        <x:f>IF(A40="","",IF(OR(COUNT(E40:H40)&lt;&gt;4,D40="",I40="",F40&gt;E40,G40&gt;F40,H40&gt;F40),"Missing / invalid",IF(F40=0,"n.a.",G40/F40)))</x:f>
      </x:c>
      <x:c r="L40" s="14" t="str">
        <x:f>IF(A40="","",IF(OR(COUNT(E40:H40)&lt;&gt;4,D40="",I40="",F40&gt;E40,G40&gt;F40,H40&gt;F40),"Missing / invalid",IF(F40=0,"n.a.",H40/F40)))</x:f>
      </x:c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</x:row>
    <x:row r="41" ht="23" customHeight="1">
      <x:c r="A41" s="15"/>
      <x:c r="B41" s="15"/>
      <x:c r="C41" s="7"/>
      <x:c r="D41" s="7"/>
      <x:c r="E41" s="7"/>
      <x:c r="F41" s="7"/>
      <x:c r="G41" s="7"/>
      <x:c r="H41" s="7"/>
      <x:c r="I41" s="7"/>
      <x:c r="J41" s="14" t="str">
        <x:f>IF(A41="","",IF(OR(COUNT(E41:H41)&lt;&gt;4,D41="",I41="",F41&gt;E41,G41&gt;F41,H41&gt;F41),"Missing / invalid",IF(E41=0,"n.a.",F41/E41)))</x:f>
      </x:c>
      <x:c r="K41" s="14" t="str">
        <x:f>IF(A41="","",IF(OR(COUNT(E41:H41)&lt;&gt;4,D41="",I41="",F41&gt;E41,G41&gt;F41,H41&gt;F41),"Missing / invalid",IF(F41=0,"n.a.",G41/F41)))</x:f>
      </x:c>
      <x:c r="L41" s="14" t="str">
        <x:f>IF(A41="","",IF(OR(COUNT(E41:H41)&lt;&gt;4,D41="",I41="",F41&gt;E41,G41&gt;F41,H41&gt;F41),"Missing / invalid",IF(F41=0,"n.a.",H41/F41)))</x:f>
      </x:c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</x:row>
    <x:row r="42" ht="23" customHeight="1">
      <x:c r="A42" s="15"/>
      <x:c r="B42" s="15"/>
      <x:c r="C42" s="7"/>
      <x:c r="D42" s="7"/>
      <x:c r="E42" s="7"/>
      <x:c r="F42" s="7"/>
      <x:c r="G42" s="7"/>
      <x:c r="H42" s="7"/>
      <x:c r="I42" s="7"/>
      <x:c r="J42" s="14" t="str">
        <x:f>IF(A42="","",IF(OR(COUNT(E42:H42)&lt;&gt;4,D42="",I42="",F42&gt;E42,G42&gt;F42,H42&gt;F42),"Missing / invalid",IF(E42=0,"n.a.",F42/E42)))</x:f>
      </x:c>
      <x:c r="K42" s="14" t="str">
        <x:f>IF(A42="","",IF(OR(COUNT(E42:H42)&lt;&gt;4,D42="",I42="",F42&gt;E42,G42&gt;F42,H42&gt;F42),"Missing / invalid",IF(F42=0,"n.a.",G42/F42)))</x:f>
      </x:c>
      <x:c r="L42" s="14" t="str">
        <x:f>IF(A42="","",IF(OR(COUNT(E42:H42)&lt;&gt;4,D42="",I42="",F42&gt;E42,G42&gt;F42,H42&gt;F42),"Missing / invalid",IF(F42=0,"n.a.",H42/F42)))</x:f>
      </x:c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</x:row>
    <x:row r="43" ht="23" customHeight="1">
      <x:c r="A43" s="15"/>
      <x:c r="B43" s="15"/>
      <x:c r="C43" s="7"/>
      <x:c r="D43" s="7"/>
      <x:c r="E43" s="7"/>
      <x:c r="F43" s="7"/>
      <x:c r="G43" s="7"/>
      <x:c r="H43" s="7"/>
      <x:c r="I43" s="7"/>
      <x:c r="J43" s="14" t="str">
        <x:f>IF(A43="","",IF(OR(COUNT(E43:H43)&lt;&gt;4,D43="",I43="",F43&gt;E43,G43&gt;F43,H43&gt;F43),"Missing / invalid",IF(E43=0,"n.a.",F43/E43)))</x:f>
      </x:c>
      <x:c r="K43" s="14" t="str">
        <x:f>IF(A43="","",IF(OR(COUNT(E43:H43)&lt;&gt;4,D43="",I43="",F43&gt;E43,G43&gt;F43,H43&gt;F43),"Missing / invalid",IF(F43=0,"n.a.",G43/F43)))</x:f>
      </x:c>
      <x:c r="L43" s="14" t="str">
        <x:f>IF(A43="","",IF(OR(COUNT(E43:H43)&lt;&gt;4,D43="",I43="",F43&gt;E43,G43&gt;F43,H43&gt;F43),"Missing / invalid",IF(F43=0,"n.a.",H43/F43)))</x:f>
      </x:c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</x:row>
    <x:row r="44" ht="23" customHeight="1">
      <x:c r="A44" s="15"/>
      <x:c r="B44" s="15"/>
      <x:c r="C44" s="7"/>
      <x:c r="D44" s="7"/>
      <x:c r="E44" s="7"/>
      <x:c r="F44" s="7"/>
      <x:c r="G44" s="7"/>
      <x:c r="H44" s="7"/>
      <x:c r="I44" s="7"/>
      <x:c r="J44" s="14" t="str">
        <x:f>IF(A44="","",IF(OR(COUNT(E44:H44)&lt;&gt;4,D44="",I44="",F44&gt;E44,G44&gt;F44,H44&gt;F44),"Missing / invalid",IF(E44=0,"n.a.",F44/E44)))</x:f>
      </x:c>
      <x:c r="K44" s="14" t="str">
        <x:f>IF(A44="","",IF(OR(COUNT(E44:H44)&lt;&gt;4,D44="",I44="",F44&gt;E44,G44&gt;F44,H44&gt;F44),"Missing / invalid",IF(F44=0,"n.a.",G44/F44)))</x:f>
      </x:c>
      <x:c r="L44" s="14" t="str">
        <x:f>IF(A44="","",IF(OR(COUNT(E44:H44)&lt;&gt;4,D44="",I44="",F44&gt;E44,G44&gt;F44,H44&gt;F44),"Missing / invalid",IF(F44=0,"n.a.",H44/F44)))</x:f>
      </x:c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</x:row>
    <x:row r="45" ht="23" customHeight="1">
      <x:c r="A45" s="15"/>
      <x:c r="B45" s="15"/>
      <x:c r="C45" s="7"/>
      <x:c r="D45" s="7"/>
      <x:c r="E45" s="7"/>
      <x:c r="F45" s="7"/>
      <x:c r="G45" s="7"/>
      <x:c r="H45" s="7"/>
      <x:c r="I45" s="7"/>
      <x:c r="J45" s="14" t="str">
        <x:f>IF(A45="","",IF(OR(COUNT(E45:H45)&lt;&gt;4,D45="",I45="",F45&gt;E45,G45&gt;F45,H45&gt;F45),"Missing / invalid",IF(E45=0,"n.a.",F45/E45)))</x:f>
      </x:c>
      <x:c r="K45" s="14" t="str">
        <x:f>IF(A45="","",IF(OR(COUNT(E45:H45)&lt;&gt;4,D45="",I45="",F45&gt;E45,G45&gt;F45,H45&gt;F45),"Missing / invalid",IF(F45=0,"n.a.",G45/F45)))</x:f>
      </x:c>
      <x:c r="L45" s="14" t="str">
        <x:f>IF(A45="","",IF(OR(COUNT(E45:H45)&lt;&gt;4,D45="",I45="",F45&gt;E45,G45&gt;F45,H45&gt;F45),"Missing / invalid",IF(F45=0,"n.a.",H45/F45)))</x:f>
      </x:c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</x:row>
    <x:row r="46" ht="23" customHeight="1">
      <x:c r="A46" s="15"/>
      <x:c r="B46" s="15"/>
      <x:c r="C46" s="7"/>
      <x:c r="D46" s="7"/>
      <x:c r="E46" s="7"/>
      <x:c r="F46" s="7"/>
      <x:c r="G46" s="7"/>
      <x:c r="H46" s="7"/>
      <x:c r="I46" s="7"/>
      <x:c r="J46" s="14" t="str">
        <x:f>IF(A46="","",IF(OR(COUNT(E46:H46)&lt;&gt;4,D46="",I46="",F46&gt;E46,G46&gt;F46,H46&gt;F46),"Missing / invalid",IF(E46=0,"n.a.",F46/E46)))</x:f>
      </x:c>
      <x:c r="K46" s="14" t="str">
        <x:f>IF(A46="","",IF(OR(COUNT(E46:H46)&lt;&gt;4,D46="",I46="",F46&gt;E46,G46&gt;F46,H46&gt;F46),"Missing / invalid",IF(F46=0,"n.a.",G46/F46)))</x:f>
      </x:c>
      <x:c r="L46" s="14" t="str">
        <x:f>IF(A46="","",IF(OR(COUNT(E46:H46)&lt;&gt;4,D46="",I46="",F46&gt;E46,G46&gt;F46,H46&gt;F46),"Missing / invalid",IF(F46=0,"n.a.",H46/F46)))</x:f>
      </x:c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</x:row>
    <x:row r="47" ht="23" customHeight="1">
      <x:c r="A47" s="15"/>
      <x:c r="B47" s="15"/>
      <x:c r="C47" s="7"/>
      <x:c r="D47" s="7"/>
      <x:c r="E47" s="7"/>
      <x:c r="F47" s="7"/>
      <x:c r="G47" s="7"/>
      <x:c r="H47" s="7"/>
      <x:c r="I47" s="7"/>
      <x:c r="J47" s="14" t="str">
        <x:f>IF(A47="","",IF(OR(COUNT(E47:H47)&lt;&gt;4,D47="",I47="",F47&gt;E47,G47&gt;F47,H47&gt;F47),"Missing / invalid",IF(E47=0,"n.a.",F47/E47)))</x:f>
      </x:c>
      <x:c r="K47" s="14" t="str">
        <x:f>IF(A47="","",IF(OR(COUNT(E47:H47)&lt;&gt;4,D47="",I47="",F47&gt;E47,G47&gt;F47,H47&gt;F47),"Missing / invalid",IF(F47=0,"n.a.",G47/F47)))</x:f>
      </x:c>
      <x:c r="L47" s="14" t="str">
        <x:f>IF(A47="","",IF(OR(COUNT(E47:H47)&lt;&gt;4,D47="",I47="",F47&gt;E47,G47&gt;F47,H47&gt;F47),"Missing / invalid",IF(F47=0,"n.a.",H47/F47)))</x:f>
      </x:c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</x:row>
    <x:row r="48" ht="23" customHeight="1">
      <x:c r="A48" s="15"/>
      <x:c r="B48" s="15"/>
      <x:c r="C48" s="7"/>
      <x:c r="D48" s="7"/>
      <x:c r="E48" s="7"/>
      <x:c r="F48" s="7"/>
      <x:c r="G48" s="7"/>
      <x:c r="H48" s="7"/>
      <x:c r="I48" s="7"/>
      <x:c r="J48" s="14" t="str">
        <x:f>IF(A48="","",IF(OR(COUNT(E48:H48)&lt;&gt;4,D48="",I48="",F48&gt;E48,G48&gt;F48,H48&gt;F48),"Missing / invalid",IF(E48=0,"n.a.",F48/E48)))</x:f>
      </x:c>
      <x:c r="K48" s="14" t="str">
        <x:f>IF(A48="","",IF(OR(COUNT(E48:H48)&lt;&gt;4,D48="",I48="",F48&gt;E48,G48&gt;F48,H48&gt;F48),"Missing / invalid",IF(F48=0,"n.a.",G48/F48)))</x:f>
      </x:c>
      <x:c r="L48" s="14" t="str">
        <x:f>IF(A48="","",IF(OR(COUNT(E48:H48)&lt;&gt;4,D48="",I48="",F48&gt;E48,G48&gt;F48,H48&gt;F48),"Missing / invalid",IF(F48=0,"n.a.",H48/F48)))</x:f>
      </x:c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</x:row>
    <x:row r="49" ht="23" customHeight="1">
      <x:c r="A49" s="15"/>
      <x:c r="B49" s="15"/>
      <x:c r="C49" s="7"/>
      <x:c r="D49" s="7"/>
      <x:c r="E49" s="7"/>
      <x:c r="F49" s="7"/>
      <x:c r="G49" s="7"/>
      <x:c r="H49" s="7"/>
      <x:c r="I49" s="7"/>
      <x:c r="J49" s="14" t="str">
        <x:f>IF(A49="","",IF(OR(COUNT(E49:H49)&lt;&gt;4,D49="",I49="",F49&gt;E49,G49&gt;F49,H49&gt;F49),"Missing / invalid",IF(E49=0,"n.a.",F49/E49)))</x:f>
      </x:c>
      <x:c r="K49" s="14" t="str">
        <x:f>IF(A49="","",IF(OR(COUNT(E49:H49)&lt;&gt;4,D49="",I49="",F49&gt;E49,G49&gt;F49,H49&gt;F49),"Missing / invalid",IF(F49=0,"n.a.",G49/F49)))</x:f>
      </x:c>
      <x:c r="L49" s="14" t="str">
        <x:f>IF(A49="","",IF(OR(COUNT(E49:H49)&lt;&gt;4,D49="",I49="",F49&gt;E49,G49&gt;F49,H49&gt;F49),"Missing / invalid",IF(F49=0,"n.a.",H49/F49)))</x:f>
      </x:c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</x:row>
    <x:row r="50" ht="23" customHeight="1">
      <x:c r="A50" s="15"/>
      <x:c r="B50" s="15"/>
      <x:c r="C50" s="7"/>
      <x:c r="D50" s="7"/>
      <x:c r="E50" s="7"/>
      <x:c r="F50" s="7"/>
      <x:c r="G50" s="7"/>
      <x:c r="H50" s="7"/>
      <x:c r="I50" s="7"/>
      <x:c r="J50" s="14" t="str">
        <x:f>IF(A50="","",IF(OR(COUNT(E50:H50)&lt;&gt;4,D50="",I50="",F50&gt;E50,G50&gt;F50,H50&gt;F50),"Missing / invalid",IF(E50=0,"n.a.",F50/E50)))</x:f>
      </x:c>
      <x:c r="K50" s="14" t="str">
        <x:f>IF(A50="","",IF(OR(COUNT(E50:H50)&lt;&gt;4,D50="",I50="",F50&gt;E50,G50&gt;F50,H50&gt;F50),"Missing / invalid",IF(F50=0,"n.a.",G50/F50)))</x:f>
      </x:c>
      <x:c r="L50" s="14" t="str">
        <x:f>IF(A50="","",IF(OR(COUNT(E50:H50)&lt;&gt;4,D50="",I50="",F50&gt;E50,G50&gt;F50,H50&gt;F50),"Missing / invalid",IF(F50=0,"n.a.",H50/F50)))</x:f>
      </x:c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</x:row>
    <x:row r="51" ht="23" customHeight="1">
      <x:c r="A51" s="15"/>
      <x:c r="B51" s="15"/>
      <x:c r="C51" s="7"/>
      <x:c r="D51" s="7"/>
      <x:c r="E51" s="7"/>
      <x:c r="F51" s="7"/>
      <x:c r="G51" s="7"/>
      <x:c r="H51" s="7"/>
      <x:c r="I51" s="7"/>
      <x:c r="J51" s="14" t="str">
        <x:f>IF(A51="","",IF(OR(COUNT(E51:H51)&lt;&gt;4,D51="",I51="",F51&gt;E51,G51&gt;F51,H51&gt;F51),"Missing / invalid",IF(E51=0,"n.a.",F51/E51)))</x:f>
      </x:c>
      <x:c r="K51" s="14" t="str">
        <x:f>IF(A51="","",IF(OR(COUNT(E51:H51)&lt;&gt;4,D51="",I51="",F51&gt;E51,G51&gt;F51,H51&gt;F51),"Missing / invalid",IF(F51=0,"n.a.",G51/F51)))</x:f>
      </x:c>
      <x:c r="L51" s="14" t="str">
        <x:f>IF(A51="","",IF(OR(COUNT(E51:H51)&lt;&gt;4,D51="",I51="",F51&gt;E51,G51&gt;F51,H51&gt;F51),"Missing / invalid",IF(F51=0,"n.a.",H51/F51)))</x:f>
      </x:c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</x:row>
    <x:row r="52" ht="23" customHeight="1">
      <x:c r="A52" s="15"/>
      <x:c r="B52" s="15"/>
      <x:c r="C52" s="7"/>
      <x:c r="D52" s="7"/>
      <x:c r="E52" s="7"/>
      <x:c r="F52" s="7"/>
      <x:c r="G52" s="7"/>
      <x:c r="H52" s="7"/>
      <x:c r="I52" s="7"/>
      <x:c r="J52" s="14" t="str">
        <x:f>IF(A52="","",IF(OR(COUNT(E52:H52)&lt;&gt;4,D52="",I52="",F52&gt;E52,G52&gt;F52,H52&gt;F52),"Missing / invalid",IF(E52=0,"n.a.",F52/E52)))</x:f>
      </x:c>
      <x:c r="K52" s="14" t="str">
        <x:f>IF(A52="","",IF(OR(COUNT(E52:H52)&lt;&gt;4,D52="",I52="",F52&gt;E52,G52&gt;F52,H52&gt;F52),"Missing / invalid",IF(F52=0,"n.a.",G52/F52)))</x:f>
      </x:c>
      <x:c r="L52" s="14" t="str">
        <x:f>IF(A52="","",IF(OR(COUNT(E52:H52)&lt;&gt;4,D52="",I52="",F52&gt;E52,G52&gt;F52,H52&gt;F52),"Missing / invalid",IF(F52=0,"n.a.",H52/F52)))</x:f>
      </x:c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</x:row>
    <x:row r="53" ht="23" customHeight="1">
      <x:c r="A53" s="15"/>
      <x:c r="B53" s="15"/>
      <x:c r="C53" s="7"/>
      <x:c r="D53" s="7"/>
      <x:c r="E53" s="7"/>
      <x:c r="F53" s="7"/>
      <x:c r="G53" s="7"/>
      <x:c r="H53" s="7"/>
      <x:c r="I53" s="7"/>
      <x:c r="J53" s="14" t="str">
        <x:f>IF(A53="","",IF(OR(COUNT(E53:H53)&lt;&gt;4,D53="",I53="",F53&gt;E53,G53&gt;F53,H53&gt;F53),"Missing / invalid",IF(E53=0,"n.a.",F53/E53)))</x:f>
      </x:c>
      <x:c r="K53" s="14" t="str">
        <x:f>IF(A53="","",IF(OR(COUNT(E53:H53)&lt;&gt;4,D53="",I53="",F53&gt;E53,G53&gt;F53,H53&gt;F53),"Missing / invalid",IF(F53=0,"n.a.",G53/F53)))</x:f>
      </x:c>
      <x:c r="L53" s="14" t="str">
        <x:f>IF(A53="","",IF(OR(COUNT(E53:H53)&lt;&gt;4,D53="",I53="",F53&gt;E53,G53&gt;F53,H53&gt;F53),"Missing / invalid",IF(F53=0,"n.a.",H53/F53)))</x:f>
      </x:c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</x:row>
    <x:row r="54" ht="23" customHeight="1">
      <x:c r="A54" s="15"/>
      <x:c r="B54" s="15"/>
      <x:c r="C54" s="7"/>
      <x:c r="D54" s="7"/>
      <x:c r="E54" s="7"/>
      <x:c r="F54" s="7"/>
      <x:c r="G54" s="7"/>
      <x:c r="H54" s="7"/>
      <x:c r="I54" s="7"/>
      <x:c r="J54" s="14" t="str">
        <x:f>IF(A54="","",IF(OR(COUNT(E54:H54)&lt;&gt;4,D54="",I54="",F54&gt;E54,G54&gt;F54,H54&gt;F54),"Missing / invalid",IF(E54=0,"n.a.",F54/E54)))</x:f>
      </x:c>
      <x:c r="K54" s="14" t="str">
        <x:f>IF(A54="","",IF(OR(COUNT(E54:H54)&lt;&gt;4,D54="",I54="",F54&gt;E54,G54&gt;F54,H54&gt;F54),"Missing / invalid",IF(F54=0,"n.a.",G54/F54)))</x:f>
      </x:c>
      <x:c r="L54" s="14" t="str">
        <x:f>IF(A54="","",IF(OR(COUNT(E54:H54)&lt;&gt;4,D54="",I54="",F54&gt;E54,G54&gt;F54,H54&gt;F54),"Missing / invalid",IF(F54=0,"n.a.",H54/F54)))</x:f>
      </x:c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</x:row>
    <x:row r="55" ht="23" customHeight="1">
      <x:c r="A55" s="15"/>
      <x:c r="B55" s="15"/>
      <x:c r="C55" s="7"/>
      <x:c r="D55" s="7"/>
      <x:c r="E55" s="7"/>
      <x:c r="F55" s="7"/>
      <x:c r="G55" s="7"/>
      <x:c r="H55" s="7"/>
      <x:c r="I55" s="7"/>
      <x:c r="J55" s="14" t="str">
        <x:f>IF(A55="","",IF(OR(COUNT(E55:H55)&lt;&gt;4,D55="",I55="",F55&gt;E55,G55&gt;F55,H55&gt;F55),"Missing / invalid",IF(E55=0,"n.a.",F55/E55)))</x:f>
      </x:c>
      <x:c r="K55" s="14" t="str">
        <x:f>IF(A55="","",IF(OR(COUNT(E55:H55)&lt;&gt;4,D55="",I55="",F55&gt;E55,G55&gt;F55,H55&gt;F55),"Missing / invalid",IF(F55=0,"n.a.",G55/F55)))</x:f>
      </x:c>
      <x:c r="L55" s="14" t="str">
        <x:f>IF(A55="","",IF(OR(COUNT(E55:H55)&lt;&gt;4,D55="",I55="",F55&gt;E55,G55&gt;F55,H55&gt;F55),"Missing / invalid",IF(F55=0,"n.a.",H55/F55)))</x:f>
      </x:c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</x:row>
    <x:row r="56" ht="23" customHeight="1">
      <x:c r="A56" s="15"/>
      <x:c r="B56" s="15"/>
      <x:c r="C56" s="7"/>
      <x:c r="D56" s="7"/>
      <x:c r="E56" s="7"/>
      <x:c r="F56" s="7"/>
      <x:c r="G56" s="7"/>
      <x:c r="H56" s="7"/>
      <x:c r="I56" s="7"/>
      <x:c r="J56" s="14" t="str">
        <x:f>IF(A56="","",IF(OR(COUNT(E56:H56)&lt;&gt;4,D56="",I56="",F56&gt;E56,G56&gt;F56,H56&gt;F56),"Missing / invalid",IF(E56=0,"n.a.",F56/E56)))</x:f>
      </x:c>
      <x:c r="K56" s="14" t="str">
        <x:f>IF(A56="","",IF(OR(COUNT(E56:H56)&lt;&gt;4,D56="",I56="",F56&gt;E56,G56&gt;F56,H56&gt;F56),"Missing / invalid",IF(F56=0,"n.a.",G56/F56)))</x:f>
      </x:c>
      <x:c r="L56" s="14" t="str">
        <x:f>IF(A56="","",IF(OR(COUNT(E56:H56)&lt;&gt;4,D56="",I56="",F56&gt;E56,G56&gt;F56,H56&gt;F56),"Missing / invalid",IF(F56=0,"n.a.",H56/F56)))</x:f>
      </x:c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</x:row>
    <x:row r="57" ht="23" customHeight="1">
      <x:c r="A57" s="15"/>
      <x:c r="B57" s="15"/>
      <x:c r="C57" s="7"/>
      <x:c r="D57" s="7"/>
      <x:c r="E57" s="7"/>
      <x:c r="F57" s="7"/>
      <x:c r="G57" s="7"/>
      <x:c r="H57" s="7"/>
      <x:c r="I57" s="7"/>
      <x:c r="J57" s="14" t="str">
        <x:f>IF(A57="","",IF(OR(COUNT(E57:H57)&lt;&gt;4,D57="",I57="",F57&gt;E57,G57&gt;F57,H57&gt;F57),"Missing / invalid",IF(E57=0,"n.a.",F57/E57)))</x:f>
      </x:c>
      <x:c r="K57" s="14" t="str">
        <x:f>IF(A57="","",IF(OR(COUNT(E57:H57)&lt;&gt;4,D57="",I57="",F57&gt;E57,G57&gt;F57,H57&gt;F57),"Missing / invalid",IF(F57=0,"n.a.",G57/F57)))</x:f>
      </x:c>
      <x:c r="L57" s="14" t="str">
        <x:f>IF(A57="","",IF(OR(COUNT(E57:H57)&lt;&gt;4,D57="",I57="",F57&gt;E57,G57&gt;F57,H57&gt;F57),"Missing / invalid",IF(F57=0,"n.a.",H57/F57)))</x:f>
      </x:c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</x:row>
    <x:row r="58" ht="23" customHeight="1">
      <x:c r="A58" s="15"/>
      <x:c r="B58" s="15"/>
      <x:c r="C58" s="7"/>
      <x:c r="D58" s="7"/>
      <x:c r="E58" s="7"/>
      <x:c r="F58" s="7"/>
      <x:c r="G58" s="7"/>
      <x:c r="H58" s="7"/>
      <x:c r="I58" s="7"/>
      <x:c r="J58" s="14" t="str">
        <x:f>IF(A58="","",IF(OR(COUNT(E58:H58)&lt;&gt;4,D58="",I58="",F58&gt;E58,G58&gt;F58,H58&gt;F58),"Missing / invalid",IF(E58=0,"n.a.",F58/E58)))</x:f>
      </x:c>
      <x:c r="K58" s="14" t="str">
        <x:f>IF(A58="","",IF(OR(COUNT(E58:H58)&lt;&gt;4,D58="",I58="",F58&gt;E58,G58&gt;F58,H58&gt;F58),"Missing / invalid",IF(F58=0,"n.a.",G58/F58)))</x:f>
      </x:c>
      <x:c r="L58" s="14" t="str">
        <x:f>IF(A58="","",IF(OR(COUNT(E58:H58)&lt;&gt;4,D58="",I58="",F58&gt;E58,G58&gt;F58,H58&gt;F58),"Missing / invalid",IF(F58=0,"n.a.",H58/F58)))</x:f>
      </x:c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</x:row>
    <x:row r="59" ht="23" customHeight="1">
      <x:c r="A59" s="15"/>
      <x:c r="B59" s="15"/>
      <x:c r="C59" s="7"/>
      <x:c r="D59" s="7"/>
      <x:c r="E59" s="7"/>
      <x:c r="F59" s="7"/>
      <x:c r="G59" s="7"/>
      <x:c r="H59" s="7"/>
      <x:c r="I59" s="7"/>
      <x:c r="J59" s="14" t="str">
        <x:f>IF(A59="","",IF(OR(COUNT(E59:H59)&lt;&gt;4,D59="",I59="",F59&gt;E59,G59&gt;F59,H59&gt;F59),"Missing / invalid",IF(E59=0,"n.a.",F59/E59)))</x:f>
      </x:c>
      <x:c r="K59" s="14" t="str">
        <x:f>IF(A59="","",IF(OR(COUNT(E59:H59)&lt;&gt;4,D59="",I59="",F59&gt;E59,G59&gt;F59,H59&gt;F59),"Missing / invalid",IF(F59=0,"n.a.",G59/F59)))</x:f>
      </x:c>
      <x:c r="L59" s="14" t="str">
        <x:f>IF(A59="","",IF(OR(COUNT(E59:H59)&lt;&gt;4,D59="",I59="",F59&gt;E59,G59&gt;F59,H59&gt;F59),"Missing / invalid",IF(F59=0,"n.a.",H59/F59)))</x:f>
      </x:c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</x:row>
    <x:row r="60" ht="23" customHeight="1">
      <x:c r="A60" s="15"/>
      <x:c r="B60" s="15"/>
      <x:c r="C60" s="7"/>
      <x:c r="D60" s="7"/>
      <x:c r="E60" s="7"/>
      <x:c r="F60" s="7"/>
      <x:c r="G60" s="7"/>
      <x:c r="H60" s="7"/>
      <x:c r="I60" s="7"/>
      <x:c r="J60" s="14" t="str">
        <x:f>IF(A60="","",IF(OR(COUNT(E60:H60)&lt;&gt;4,D60="",I60="",F60&gt;E60,G60&gt;F60,H60&gt;F60),"Missing / invalid",IF(E60=0,"n.a.",F60/E60)))</x:f>
      </x:c>
      <x:c r="K60" s="14" t="str">
        <x:f>IF(A60="","",IF(OR(COUNT(E60:H60)&lt;&gt;4,D60="",I60="",F60&gt;E60,G60&gt;F60,H60&gt;F60),"Missing / invalid",IF(F60=0,"n.a.",G60/F60)))</x:f>
      </x:c>
      <x:c r="L60" s="14" t="str">
        <x:f>IF(A60="","",IF(OR(COUNT(E60:H60)&lt;&gt;4,D60="",I60="",F60&gt;E60,G60&gt;F60,H60&gt;F60),"Missing / invalid",IF(F60=0,"n.a.",H60/F60)))</x:f>
      </x:c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</x:row>
    <x:row r="61" ht="23" customHeight="1">
      <x:c r="A61" s="15"/>
      <x:c r="B61" s="15"/>
      <x:c r="C61" s="7"/>
      <x:c r="D61" s="7"/>
      <x:c r="E61" s="7"/>
      <x:c r="F61" s="7"/>
      <x:c r="G61" s="7"/>
      <x:c r="H61" s="7"/>
      <x:c r="I61" s="7"/>
      <x:c r="J61" s="14" t="str">
        <x:f>IF(A61="","",IF(OR(COUNT(E61:H61)&lt;&gt;4,D61="",I61="",F61&gt;E61,G61&gt;F61,H61&gt;F61),"Missing / invalid",IF(E61=0,"n.a.",F61/E61)))</x:f>
      </x:c>
      <x:c r="K61" s="14" t="str">
        <x:f>IF(A61="","",IF(OR(COUNT(E61:H61)&lt;&gt;4,D61="",I61="",F61&gt;E61,G61&gt;F61,H61&gt;F61),"Missing / invalid",IF(F61=0,"n.a.",G61/F61)))</x:f>
      </x:c>
      <x:c r="L61" s="14" t="str">
        <x:f>IF(A61="","",IF(OR(COUNT(E61:H61)&lt;&gt;4,D61="",I61="",F61&gt;E61,G61&gt;F61,H61&gt;F61),"Missing / invalid",IF(F61=0,"n.a.",H61/F61)))</x:f>
      </x:c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</x:row>
    <x:row r="62" ht="23" customHeight="1">
      <x:c r="A62" s="15"/>
      <x:c r="B62" s="15"/>
      <x:c r="C62" s="7"/>
      <x:c r="D62" s="7"/>
      <x:c r="E62" s="7"/>
      <x:c r="F62" s="7"/>
      <x:c r="G62" s="7"/>
      <x:c r="H62" s="7"/>
      <x:c r="I62" s="7"/>
      <x:c r="J62" s="14" t="str">
        <x:f>IF(A62="","",IF(OR(COUNT(E62:H62)&lt;&gt;4,D62="",I62="",F62&gt;E62,G62&gt;F62,H62&gt;F62),"Missing / invalid",IF(E62=0,"n.a.",F62/E62)))</x:f>
      </x:c>
      <x:c r="K62" s="14" t="str">
        <x:f>IF(A62="","",IF(OR(COUNT(E62:H62)&lt;&gt;4,D62="",I62="",F62&gt;E62,G62&gt;F62,H62&gt;F62),"Missing / invalid",IF(F62=0,"n.a.",G62/F62)))</x:f>
      </x:c>
      <x:c r="L62" s="14" t="str">
        <x:f>IF(A62="","",IF(OR(COUNT(E62:H62)&lt;&gt;4,D62="",I62="",F62&gt;E62,G62&gt;F62,H62&gt;F62),"Missing / invalid",IF(F62=0,"n.a.",H62/F62)))</x:f>
      </x:c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</x:row>
    <x:row r="63" ht="23" customHeight="1">
      <x:c r="A63" s="15"/>
      <x:c r="B63" s="15"/>
      <x:c r="C63" s="7"/>
      <x:c r="D63" s="7"/>
      <x:c r="E63" s="7"/>
      <x:c r="F63" s="7"/>
      <x:c r="G63" s="7"/>
      <x:c r="H63" s="7"/>
      <x:c r="I63" s="7"/>
      <x:c r="J63" s="14" t="str">
        <x:f>IF(A63="","",IF(OR(COUNT(E63:H63)&lt;&gt;4,D63="",I63="",F63&gt;E63,G63&gt;F63,H63&gt;F63),"Missing / invalid",IF(E63=0,"n.a.",F63/E63)))</x:f>
      </x:c>
      <x:c r="K63" s="14" t="str">
        <x:f>IF(A63="","",IF(OR(COUNT(E63:H63)&lt;&gt;4,D63="",I63="",F63&gt;E63,G63&gt;F63,H63&gt;F63),"Missing / invalid",IF(F63=0,"n.a.",G63/F63)))</x:f>
      </x:c>
      <x:c r="L63" s="14" t="str">
        <x:f>IF(A63="","",IF(OR(COUNT(E63:H63)&lt;&gt;4,D63="",I63="",F63&gt;E63,G63&gt;F63,H63&gt;F63),"Missing / invalid",IF(F63=0,"n.a.",H63/F63)))</x:f>
      </x:c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</x:row>
    <x:row r="64" ht="23" customHeight="1">
      <x:c r="A64" s="15"/>
      <x:c r="B64" s="15"/>
      <x:c r="C64" s="7"/>
      <x:c r="D64" s="7"/>
      <x:c r="E64" s="7"/>
      <x:c r="F64" s="7"/>
      <x:c r="G64" s="7"/>
      <x:c r="H64" s="7"/>
      <x:c r="I64" s="7"/>
      <x:c r="J64" s="14" t="str">
        <x:f>IF(A64="","",IF(OR(COUNT(E64:H64)&lt;&gt;4,D64="",I64="",F64&gt;E64,G64&gt;F64,H64&gt;F64),"Missing / invalid",IF(E64=0,"n.a.",F64/E64)))</x:f>
      </x:c>
      <x:c r="K64" s="14" t="str">
        <x:f>IF(A64="","",IF(OR(COUNT(E64:H64)&lt;&gt;4,D64="",I64="",F64&gt;E64,G64&gt;F64,H64&gt;F64),"Missing / invalid",IF(F64=0,"n.a.",G64/F64)))</x:f>
      </x:c>
      <x:c r="L64" s="14" t="str">
        <x:f>IF(A64="","",IF(OR(COUNT(E64:H64)&lt;&gt;4,D64="",I64="",F64&gt;E64,G64&gt;F64,H64&gt;F64),"Missing / invalid",IF(F64=0,"n.a.",H64/F64)))</x:f>
      </x:c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</x:row>
    <x:row r="65" ht="23" customHeight="1">
      <x:c r="A65" s="15"/>
      <x:c r="B65" s="15"/>
      <x:c r="C65" s="7"/>
      <x:c r="D65" s="7"/>
      <x:c r="E65" s="7"/>
      <x:c r="F65" s="7"/>
      <x:c r="G65" s="7"/>
      <x:c r="H65" s="7"/>
      <x:c r="I65" s="7"/>
      <x:c r="J65" s="14" t="str">
        <x:f>IF(A65="","",IF(OR(COUNT(E65:H65)&lt;&gt;4,D65="",I65="",F65&gt;E65,G65&gt;F65,H65&gt;F65),"Missing / invalid",IF(E65=0,"n.a.",F65/E65)))</x:f>
      </x:c>
      <x:c r="K65" s="14" t="str">
        <x:f>IF(A65="","",IF(OR(COUNT(E65:H65)&lt;&gt;4,D65="",I65="",F65&gt;E65,G65&gt;F65,H65&gt;F65),"Missing / invalid",IF(F65=0,"n.a.",G65/F65)))</x:f>
      </x:c>
      <x:c r="L65" s="14" t="str">
        <x:f>IF(A65="","",IF(OR(COUNT(E65:H65)&lt;&gt;4,D65="",I65="",F65&gt;E65,G65&gt;F65,H65&gt;F65),"Missing / invalid",IF(F65=0,"n.a.",H65/F65)))</x:f>
      </x:c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</x:row>
  </x:sheetData>
  <x:conditionalFormatting sqref="A1:AI70">
    <x:cfRule type="containsText" dxfId="2" priority="1" operator="containsText" text="Missing"/>
  </x:conditionalFormatting>
  <x:dataValidations count="2">
    <x:dataValidation type="list" sqref="C6:C65">
      <x:formula1>"D2C,B2B"</x:formula1>
    </x:dataValidation>
    <x:dataValidation type="decimal" operator="greaterThanOrEqual" sqref="E6:H6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6475168d9b426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2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23" customHeight="1">
      <x:c r="A2" s="2" t="str">
        <x:v>Search and answer discovery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3" customHeight="1">
      <x:c r="A3" s="3" t="str">
        <x:v>One period × system × fixed panel/query slice. Never blend SEO impressions with answer observations.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</x:row>
    <x:row r="5" ht="44" customHeight="1">
      <x:c r="A5" s="6" t="str">
        <x:v>Period start</x:v>
      </x:c>
      <x:c r="B5" s="6" t="str">
        <x:v>Period end</x:v>
      </x:c>
      <x:c r="C5" s="6" t="str">
        <x:v>Type</x:v>
      </x:c>
      <x:c r="D5" s="6" t="str">
        <x:v>System / engine</x:v>
      </x:c>
      <x:c r="E5" s="6" t="str">
        <x:v>Panel / query slice</x:v>
      </x:c>
      <x:c r="F5" s="6" t="str">
        <x:v>Version / locale</x:v>
      </x:c>
      <x:c r="G5" s="6" t="str">
        <x:v>Valid observations</x:v>
      </x:c>
      <x:c r="H5" s="6" t="str">
        <x:v>Mentions</x:v>
      </x:c>
      <x:c r="I5" s="6" t="str">
        <x:v>Recommendations</x:v>
      </x:c>
      <x:c r="J5" s="6" t="str">
        <x:v>Owned citations</x:v>
      </x:c>
      <x:c r="K5" s="6" t="str">
        <x:v>Claims checked</x:v>
      </x:c>
      <x:c r="L5" s="6" t="str">
        <x:v>Claims correct</x:v>
      </x:c>
      <x:c r="M5" s="6" t="str">
        <x:v>SEO impressions</x:v>
      </x:c>
      <x:c r="N5" s="6" t="str">
        <x:v>SEO clicks</x:v>
      </x:c>
      <x:c r="O5" s="6" t="str">
        <x:v>AI referral sessions</x:v>
      </x:c>
      <x:c r="P5" s="6" t="str">
        <x:v>AI referral orders</x:v>
      </x:c>
      <x:c r="Q5" s="6" t="str">
        <x:v>Source / extract</x:v>
      </x:c>
      <x:c r="R5" s="6" t="str">
        <x:v>Mention rate</x:v>
      </x:c>
      <x:c r="S5" s="6" t="str">
        <x:v>Recommendation rate</x:v>
      </x:c>
      <x:c r="T5" s="6" t="str">
        <x:v>Citation rate</x:v>
      </x:c>
      <x:c r="U5" s="6" t="str">
        <x:v>Claim accuracy</x:v>
      </x:c>
      <x:c r="V5" s="6" t="str">
        <x:v>SEO CTR</x:v>
      </x:c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</x:row>
    <x:row r="6" ht="23" customHeight="1">
      <x:c r="A6" s="15"/>
      <x:c r="B6" s="15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14" t="str">
        <x:f>IF(A6="","",IF(C6&lt;&gt;"AEO/GEO","n.a.",IF(OR(COUNT(H6,G6)&lt;&gt;2,Q6="",H6&gt;G6),"Missing / invalid",IF(G6=0,"n.a.",H6/G6))))</x:f>
      </x:c>
      <x:c r="S6" s="14" t="str">
        <x:f>IF(A6="","",IF(C6&lt;&gt;"AEO/GEO","n.a.",IF(OR(COUNT(I6,G6)&lt;&gt;2,Q6="",I6&gt;G6),"Missing / invalid",IF(G6=0,"n.a.",I6/G6))))</x:f>
      </x:c>
      <x:c r="T6" s="14" t="str">
        <x:f>IF(A6="","",IF(C6&lt;&gt;"AEO/GEO","n.a.",IF(OR(COUNT(J6,G6)&lt;&gt;2,Q6="",J6&gt;G6),"Missing / invalid",IF(G6=0,"n.a.",J6/G6))))</x:f>
      </x:c>
      <x:c r="U6" s="14" t="str">
        <x:f>IF(A6="","",IF(C6&lt;&gt;"AEO/GEO","n.a.",IF(OR(COUNT(L6,K6)&lt;&gt;2,Q6="",L6&gt;K6),"Missing / invalid",IF(K6=0,"n.a.",L6/K6))))</x:f>
      </x:c>
      <x:c r="V6" s="14" t="str">
        <x:f>IF(A6="","",IF(C6&lt;&gt;"SEO","n.a.",IF(OR(COUNT(N6,M6)&lt;&gt;2,Q6="",N6&gt;M6),"Missing / invalid",IF(M6=0,"n.a.",N6/M6))))</x:f>
      </x:c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</x:row>
    <x:row r="7" ht="23" customHeight="1">
      <x:c r="A7" s="15"/>
      <x:c r="B7" s="15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14" t="str">
        <x:f>IF(A7="","",IF(C7&lt;&gt;"AEO/GEO","n.a.",IF(OR(COUNT(H7,G7)&lt;&gt;2,Q7="",H7&gt;G7),"Missing / invalid",IF(G7=0,"n.a.",H7/G7))))</x:f>
      </x:c>
      <x:c r="S7" s="14" t="str">
        <x:f>IF(A7="","",IF(C7&lt;&gt;"AEO/GEO","n.a.",IF(OR(COUNT(I7,G7)&lt;&gt;2,Q7="",I7&gt;G7),"Missing / invalid",IF(G7=0,"n.a.",I7/G7))))</x:f>
      </x:c>
      <x:c r="T7" s="14" t="str">
        <x:f>IF(A7="","",IF(C7&lt;&gt;"AEO/GEO","n.a.",IF(OR(COUNT(J7,G7)&lt;&gt;2,Q7="",J7&gt;G7),"Missing / invalid",IF(G7=0,"n.a.",J7/G7))))</x:f>
      </x:c>
      <x:c r="U7" s="14" t="str">
        <x:f>IF(A7="","",IF(C7&lt;&gt;"AEO/GEO","n.a.",IF(OR(COUNT(L7,K7)&lt;&gt;2,Q7="",L7&gt;K7),"Missing / invalid",IF(K7=0,"n.a.",L7/K7))))</x:f>
      </x:c>
      <x:c r="V7" s="14" t="str">
        <x:f>IF(A7="","",IF(C7&lt;&gt;"SEO","n.a.",IF(OR(COUNT(N7,M7)&lt;&gt;2,Q7="",N7&gt;M7),"Missing / invalid",IF(M7=0,"n.a.",N7/M7))))</x:f>
      </x:c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</x:row>
    <x:row r="8" ht="23" customHeight="1">
      <x:c r="A8" s="15"/>
      <x:c r="B8" s="15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14" t="str">
        <x:f>IF(A8="","",IF(C8&lt;&gt;"AEO/GEO","n.a.",IF(OR(COUNT(H8,G8)&lt;&gt;2,Q8="",H8&gt;G8),"Missing / invalid",IF(G8=0,"n.a.",H8/G8))))</x:f>
      </x:c>
      <x:c r="S8" s="14" t="str">
        <x:f>IF(A8="","",IF(C8&lt;&gt;"AEO/GEO","n.a.",IF(OR(COUNT(I8,G8)&lt;&gt;2,Q8="",I8&gt;G8),"Missing / invalid",IF(G8=0,"n.a.",I8/G8))))</x:f>
      </x:c>
      <x:c r="T8" s="14" t="str">
        <x:f>IF(A8="","",IF(C8&lt;&gt;"AEO/GEO","n.a.",IF(OR(COUNT(J8,G8)&lt;&gt;2,Q8="",J8&gt;G8),"Missing / invalid",IF(G8=0,"n.a.",J8/G8))))</x:f>
      </x:c>
      <x:c r="U8" s="14" t="str">
        <x:f>IF(A8="","",IF(C8&lt;&gt;"AEO/GEO","n.a.",IF(OR(COUNT(L8,K8)&lt;&gt;2,Q8="",L8&gt;K8),"Missing / invalid",IF(K8=0,"n.a.",L8/K8))))</x:f>
      </x:c>
      <x:c r="V8" s="14" t="str">
        <x:f>IF(A8="","",IF(C8&lt;&gt;"SEO","n.a.",IF(OR(COUNT(N8,M8)&lt;&gt;2,Q8="",N8&gt;M8),"Missing / invalid",IF(M8=0,"n.a.",N8/M8))))</x:f>
      </x:c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</x:row>
    <x:row r="9" ht="23" customHeight="1">
      <x:c r="A9" s="15"/>
      <x:c r="B9" s="15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14" t="str">
        <x:f>IF(A9="","",IF(C9&lt;&gt;"AEO/GEO","n.a.",IF(OR(COUNT(H9,G9)&lt;&gt;2,Q9="",H9&gt;G9),"Missing / invalid",IF(G9=0,"n.a.",H9/G9))))</x:f>
      </x:c>
      <x:c r="S9" s="14" t="str">
        <x:f>IF(A9="","",IF(C9&lt;&gt;"AEO/GEO","n.a.",IF(OR(COUNT(I9,G9)&lt;&gt;2,Q9="",I9&gt;G9),"Missing / invalid",IF(G9=0,"n.a.",I9/G9))))</x:f>
      </x:c>
      <x:c r="T9" s="14" t="str">
        <x:f>IF(A9="","",IF(C9&lt;&gt;"AEO/GEO","n.a.",IF(OR(COUNT(J9,G9)&lt;&gt;2,Q9="",J9&gt;G9),"Missing / invalid",IF(G9=0,"n.a.",J9/G9))))</x:f>
      </x:c>
      <x:c r="U9" s="14" t="str">
        <x:f>IF(A9="","",IF(C9&lt;&gt;"AEO/GEO","n.a.",IF(OR(COUNT(L9,K9)&lt;&gt;2,Q9="",L9&gt;K9),"Missing / invalid",IF(K9=0,"n.a.",L9/K9))))</x:f>
      </x:c>
      <x:c r="V9" s="14" t="str">
        <x:f>IF(A9="","",IF(C9&lt;&gt;"SEO","n.a.",IF(OR(COUNT(N9,M9)&lt;&gt;2,Q9="",N9&gt;M9),"Missing / invalid",IF(M9=0,"n.a.",N9/M9))))</x:f>
      </x:c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</x:row>
    <x:row r="10" ht="23" customHeight="1">
      <x:c r="A10" s="15"/>
      <x:c r="B10" s="15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14" t="str">
        <x:f>IF(A10="","",IF(C10&lt;&gt;"AEO/GEO","n.a.",IF(OR(COUNT(H10,G10)&lt;&gt;2,Q10="",H10&gt;G10),"Missing / invalid",IF(G10=0,"n.a.",H10/G10))))</x:f>
      </x:c>
      <x:c r="S10" s="14" t="str">
        <x:f>IF(A10="","",IF(C10&lt;&gt;"AEO/GEO","n.a.",IF(OR(COUNT(I10,G10)&lt;&gt;2,Q10="",I10&gt;G10),"Missing / invalid",IF(G10=0,"n.a.",I10/G10))))</x:f>
      </x:c>
      <x:c r="T10" s="14" t="str">
        <x:f>IF(A10="","",IF(C10&lt;&gt;"AEO/GEO","n.a.",IF(OR(COUNT(J10,G10)&lt;&gt;2,Q10="",J10&gt;G10),"Missing / invalid",IF(G10=0,"n.a.",J10/G10))))</x:f>
      </x:c>
      <x:c r="U10" s="14" t="str">
        <x:f>IF(A10="","",IF(C10&lt;&gt;"AEO/GEO","n.a.",IF(OR(COUNT(L10,K10)&lt;&gt;2,Q10="",L10&gt;K10),"Missing / invalid",IF(K10=0,"n.a.",L10/K10))))</x:f>
      </x:c>
      <x:c r="V10" s="14" t="str">
        <x:f>IF(A10="","",IF(C10&lt;&gt;"SEO","n.a.",IF(OR(COUNT(N10,M10)&lt;&gt;2,Q10="",N10&gt;M10),"Missing / invalid",IF(M10=0,"n.a.",N10/M10))))</x:f>
      </x:c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</x:row>
    <x:row r="11" ht="23" customHeight="1">
      <x:c r="A11" s="15"/>
      <x:c r="B11" s="15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14" t="str">
        <x:f>IF(A11="","",IF(C11&lt;&gt;"AEO/GEO","n.a.",IF(OR(COUNT(H11,G11)&lt;&gt;2,Q11="",H11&gt;G11),"Missing / invalid",IF(G11=0,"n.a.",H11/G11))))</x:f>
      </x:c>
      <x:c r="S11" s="14" t="str">
        <x:f>IF(A11="","",IF(C11&lt;&gt;"AEO/GEO","n.a.",IF(OR(COUNT(I11,G11)&lt;&gt;2,Q11="",I11&gt;G11),"Missing / invalid",IF(G11=0,"n.a.",I11/G11))))</x:f>
      </x:c>
      <x:c r="T11" s="14" t="str">
        <x:f>IF(A11="","",IF(C11&lt;&gt;"AEO/GEO","n.a.",IF(OR(COUNT(J11,G11)&lt;&gt;2,Q11="",J11&gt;G11),"Missing / invalid",IF(G11=0,"n.a.",J11/G11))))</x:f>
      </x:c>
      <x:c r="U11" s="14" t="str">
        <x:f>IF(A11="","",IF(C11&lt;&gt;"AEO/GEO","n.a.",IF(OR(COUNT(L11,K11)&lt;&gt;2,Q11="",L11&gt;K11),"Missing / invalid",IF(K11=0,"n.a.",L11/K11))))</x:f>
      </x:c>
      <x:c r="V11" s="14" t="str">
        <x:f>IF(A11="","",IF(C11&lt;&gt;"SEO","n.a.",IF(OR(COUNT(N11,M11)&lt;&gt;2,Q11="",N11&gt;M11),"Missing / invalid",IF(M11=0,"n.a.",N11/M11))))</x:f>
      </x:c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</x:row>
    <x:row r="12" ht="23" customHeight="1">
      <x:c r="A12" s="15"/>
      <x:c r="B12" s="15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14" t="str">
        <x:f>IF(A12="","",IF(C12&lt;&gt;"AEO/GEO","n.a.",IF(OR(COUNT(H12,G12)&lt;&gt;2,Q12="",H12&gt;G12),"Missing / invalid",IF(G12=0,"n.a.",H12/G12))))</x:f>
      </x:c>
      <x:c r="S12" s="14" t="str">
        <x:f>IF(A12="","",IF(C12&lt;&gt;"AEO/GEO","n.a.",IF(OR(COUNT(I12,G12)&lt;&gt;2,Q12="",I12&gt;G12),"Missing / invalid",IF(G12=0,"n.a.",I12/G12))))</x:f>
      </x:c>
      <x:c r="T12" s="14" t="str">
        <x:f>IF(A12="","",IF(C12&lt;&gt;"AEO/GEO","n.a.",IF(OR(COUNT(J12,G12)&lt;&gt;2,Q12="",J12&gt;G12),"Missing / invalid",IF(G12=0,"n.a.",J12/G12))))</x:f>
      </x:c>
      <x:c r="U12" s="14" t="str">
        <x:f>IF(A12="","",IF(C12&lt;&gt;"AEO/GEO","n.a.",IF(OR(COUNT(L12,K12)&lt;&gt;2,Q12="",L12&gt;K12),"Missing / invalid",IF(K12=0,"n.a.",L12/K12))))</x:f>
      </x:c>
      <x:c r="V12" s="14" t="str">
        <x:f>IF(A12="","",IF(C12&lt;&gt;"SEO","n.a.",IF(OR(COUNT(N12,M12)&lt;&gt;2,Q12="",N12&gt;M12),"Missing / invalid",IF(M12=0,"n.a.",N12/M12))))</x:f>
      </x:c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</x:row>
    <x:row r="13" ht="23" customHeight="1">
      <x:c r="A13" s="15"/>
      <x:c r="B13" s="15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  <x:c r="R13" s="14" t="str">
        <x:f>IF(A13="","",IF(C13&lt;&gt;"AEO/GEO","n.a.",IF(OR(COUNT(H13,G13)&lt;&gt;2,Q13="",H13&gt;G13),"Missing / invalid",IF(G13=0,"n.a.",H13/G13))))</x:f>
      </x:c>
      <x:c r="S13" s="14" t="str">
        <x:f>IF(A13="","",IF(C13&lt;&gt;"AEO/GEO","n.a.",IF(OR(COUNT(I13,G13)&lt;&gt;2,Q13="",I13&gt;G13),"Missing / invalid",IF(G13=0,"n.a.",I13/G13))))</x:f>
      </x:c>
      <x:c r="T13" s="14" t="str">
        <x:f>IF(A13="","",IF(C13&lt;&gt;"AEO/GEO","n.a.",IF(OR(COUNT(J13,G13)&lt;&gt;2,Q13="",J13&gt;G13),"Missing / invalid",IF(G13=0,"n.a.",J13/G13))))</x:f>
      </x:c>
      <x:c r="U13" s="14" t="str">
        <x:f>IF(A13="","",IF(C13&lt;&gt;"AEO/GEO","n.a.",IF(OR(COUNT(L13,K13)&lt;&gt;2,Q13="",L13&gt;K13),"Missing / invalid",IF(K13=0,"n.a.",L13/K13))))</x:f>
      </x:c>
      <x:c r="V13" s="14" t="str">
        <x:f>IF(A13="","",IF(C13&lt;&gt;"SEO","n.a.",IF(OR(COUNT(N13,M13)&lt;&gt;2,Q13="",N13&gt;M13),"Missing / invalid",IF(M13=0,"n.a.",N13/M13))))</x:f>
      </x:c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</x:row>
    <x:row r="14" ht="23" customHeight="1">
      <x:c r="A14" s="15"/>
      <x:c r="B14" s="15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  <x:c r="R14" s="14" t="str">
        <x:f>IF(A14="","",IF(C14&lt;&gt;"AEO/GEO","n.a.",IF(OR(COUNT(H14,G14)&lt;&gt;2,Q14="",H14&gt;G14),"Missing / invalid",IF(G14=0,"n.a.",H14/G14))))</x:f>
      </x:c>
      <x:c r="S14" s="14" t="str">
        <x:f>IF(A14="","",IF(C14&lt;&gt;"AEO/GEO","n.a.",IF(OR(COUNT(I14,G14)&lt;&gt;2,Q14="",I14&gt;G14),"Missing / invalid",IF(G14=0,"n.a.",I14/G14))))</x:f>
      </x:c>
      <x:c r="T14" s="14" t="str">
        <x:f>IF(A14="","",IF(C14&lt;&gt;"AEO/GEO","n.a.",IF(OR(COUNT(J14,G14)&lt;&gt;2,Q14="",J14&gt;G14),"Missing / invalid",IF(G14=0,"n.a.",J14/G14))))</x:f>
      </x:c>
      <x:c r="U14" s="14" t="str">
        <x:f>IF(A14="","",IF(C14&lt;&gt;"AEO/GEO","n.a.",IF(OR(COUNT(L14,K14)&lt;&gt;2,Q14="",L14&gt;K14),"Missing / invalid",IF(K14=0,"n.a.",L14/K14))))</x:f>
      </x:c>
      <x:c r="V14" s="14" t="str">
        <x:f>IF(A14="","",IF(C14&lt;&gt;"SEO","n.a.",IF(OR(COUNT(N14,M14)&lt;&gt;2,Q14="",N14&gt;M14),"Missing / invalid",IF(M14=0,"n.a.",N14/M14))))</x:f>
      </x:c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</x:row>
    <x:row r="15" ht="23" customHeight="1">
      <x:c r="A15" s="15"/>
      <x:c r="B15" s="15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  <x:c r="R15" s="14" t="str">
        <x:f>IF(A15="","",IF(C15&lt;&gt;"AEO/GEO","n.a.",IF(OR(COUNT(H15,G15)&lt;&gt;2,Q15="",H15&gt;G15),"Missing / invalid",IF(G15=0,"n.a.",H15/G15))))</x:f>
      </x:c>
      <x:c r="S15" s="14" t="str">
        <x:f>IF(A15="","",IF(C15&lt;&gt;"AEO/GEO","n.a.",IF(OR(COUNT(I15,G15)&lt;&gt;2,Q15="",I15&gt;G15),"Missing / invalid",IF(G15=0,"n.a.",I15/G15))))</x:f>
      </x:c>
      <x:c r="T15" s="14" t="str">
        <x:f>IF(A15="","",IF(C15&lt;&gt;"AEO/GEO","n.a.",IF(OR(COUNT(J15,G15)&lt;&gt;2,Q15="",J15&gt;G15),"Missing / invalid",IF(G15=0,"n.a.",J15/G15))))</x:f>
      </x:c>
      <x:c r="U15" s="14" t="str">
        <x:f>IF(A15="","",IF(C15&lt;&gt;"AEO/GEO","n.a.",IF(OR(COUNT(L15,K15)&lt;&gt;2,Q15="",L15&gt;K15),"Missing / invalid",IF(K15=0,"n.a.",L15/K15))))</x:f>
      </x:c>
      <x:c r="V15" s="14" t="str">
        <x:f>IF(A15="","",IF(C15&lt;&gt;"SEO","n.a.",IF(OR(COUNT(N15,M15)&lt;&gt;2,Q15="",N15&gt;M15),"Missing / invalid",IF(M15=0,"n.a.",N15/M15))))</x:f>
      </x:c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</x:row>
    <x:row r="16" ht="23" customHeight="1">
      <x:c r="A16" s="15"/>
      <x:c r="B16" s="15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  <x:c r="R16" s="14" t="str">
        <x:f>IF(A16="","",IF(C16&lt;&gt;"AEO/GEO","n.a.",IF(OR(COUNT(H16,G16)&lt;&gt;2,Q16="",H16&gt;G16),"Missing / invalid",IF(G16=0,"n.a.",H16/G16))))</x:f>
      </x:c>
      <x:c r="S16" s="14" t="str">
        <x:f>IF(A16="","",IF(C16&lt;&gt;"AEO/GEO","n.a.",IF(OR(COUNT(I16,G16)&lt;&gt;2,Q16="",I16&gt;G16),"Missing / invalid",IF(G16=0,"n.a.",I16/G16))))</x:f>
      </x:c>
      <x:c r="T16" s="14" t="str">
        <x:f>IF(A16="","",IF(C16&lt;&gt;"AEO/GEO","n.a.",IF(OR(COUNT(J16,G16)&lt;&gt;2,Q16="",J16&gt;G16),"Missing / invalid",IF(G16=0,"n.a.",J16/G16))))</x:f>
      </x:c>
      <x:c r="U16" s="14" t="str">
        <x:f>IF(A16="","",IF(C16&lt;&gt;"AEO/GEO","n.a.",IF(OR(COUNT(L16,K16)&lt;&gt;2,Q16="",L16&gt;K16),"Missing / invalid",IF(K16=0,"n.a.",L16/K16))))</x:f>
      </x:c>
      <x:c r="V16" s="14" t="str">
        <x:f>IF(A16="","",IF(C16&lt;&gt;"SEO","n.a.",IF(OR(COUNT(N16,M16)&lt;&gt;2,Q16="",N16&gt;M16),"Missing / invalid",IF(M16=0,"n.a.",N16/M16))))</x:f>
      </x:c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</x:row>
    <x:row r="17" ht="23" customHeight="1">
      <x:c r="A17" s="15"/>
      <x:c r="B17" s="15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  <x:c r="R17" s="14" t="str">
        <x:f>IF(A17="","",IF(C17&lt;&gt;"AEO/GEO","n.a.",IF(OR(COUNT(H17,G17)&lt;&gt;2,Q17="",H17&gt;G17),"Missing / invalid",IF(G17=0,"n.a.",H17/G17))))</x:f>
      </x:c>
      <x:c r="S17" s="14" t="str">
        <x:f>IF(A17="","",IF(C17&lt;&gt;"AEO/GEO","n.a.",IF(OR(COUNT(I17,G17)&lt;&gt;2,Q17="",I17&gt;G17),"Missing / invalid",IF(G17=0,"n.a.",I17/G17))))</x:f>
      </x:c>
      <x:c r="T17" s="14" t="str">
        <x:f>IF(A17="","",IF(C17&lt;&gt;"AEO/GEO","n.a.",IF(OR(COUNT(J17,G17)&lt;&gt;2,Q17="",J17&gt;G17),"Missing / invalid",IF(G17=0,"n.a.",J17/G17))))</x:f>
      </x:c>
      <x:c r="U17" s="14" t="str">
        <x:f>IF(A17="","",IF(C17&lt;&gt;"AEO/GEO","n.a.",IF(OR(COUNT(L17,K17)&lt;&gt;2,Q17="",L17&gt;K17),"Missing / invalid",IF(K17=0,"n.a.",L17/K17))))</x:f>
      </x:c>
      <x:c r="V17" s="14" t="str">
        <x:f>IF(A17="","",IF(C17&lt;&gt;"SEO","n.a.",IF(OR(COUNT(N17,M17)&lt;&gt;2,Q17="",N17&gt;M17),"Missing / invalid",IF(M17=0,"n.a.",N17/M17))))</x:f>
      </x:c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</x:row>
    <x:row r="18" ht="23" customHeight="1">
      <x:c r="A18" s="15"/>
      <x:c r="B18" s="15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  <x:c r="R18" s="14" t="str">
        <x:f>IF(A18="","",IF(C18&lt;&gt;"AEO/GEO","n.a.",IF(OR(COUNT(H18,G18)&lt;&gt;2,Q18="",H18&gt;G18),"Missing / invalid",IF(G18=0,"n.a.",H18/G18))))</x:f>
      </x:c>
      <x:c r="S18" s="14" t="str">
        <x:f>IF(A18="","",IF(C18&lt;&gt;"AEO/GEO","n.a.",IF(OR(COUNT(I18,G18)&lt;&gt;2,Q18="",I18&gt;G18),"Missing / invalid",IF(G18=0,"n.a.",I18/G18))))</x:f>
      </x:c>
      <x:c r="T18" s="14" t="str">
        <x:f>IF(A18="","",IF(C18&lt;&gt;"AEO/GEO","n.a.",IF(OR(COUNT(J18,G18)&lt;&gt;2,Q18="",J18&gt;G18),"Missing / invalid",IF(G18=0,"n.a.",J18/G18))))</x:f>
      </x:c>
      <x:c r="U18" s="14" t="str">
        <x:f>IF(A18="","",IF(C18&lt;&gt;"AEO/GEO","n.a.",IF(OR(COUNT(L18,K18)&lt;&gt;2,Q18="",L18&gt;K18),"Missing / invalid",IF(K18=0,"n.a.",L18/K18))))</x:f>
      </x:c>
      <x:c r="V18" s="14" t="str">
        <x:f>IF(A18="","",IF(C18&lt;&gt;"SEO","n.a.",IF(OR(COUNT(N18,M18)&lt;&gt;2,Q18="",N18&gt;M18),"Missing / invalid",IF(M18=0,"n.a.",N18/M18))))</x:f>
      </x:c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</x:row>
    <x:row r="19" ht="23" customHeight="1">
      <x:c r="A19" s="15"/>
      <x:c r="B19" s="15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14" t="str">
        <x:f>IF(A19="","",IF(C19&lt;&gt;"AEO/GEO","n.a.",IF(OR(COUNT(H19,G19)&lt;&gt;2,Q19="",H19&gt;G19),"Missing / invalid",IF(G19=0,"n.a.",H19/G19))))</x:f>
      </x:c>
      <x:c r="S19" s="14" t="str">
        <x:f>IF(A19="","",IF(C19&lt;&gt;"AEO/GEO","n.a.",IF(OR(COUNT(I19,G19)&lt;&gt;2,Q19="",I19&gt;G19),"Missing / invalid",IF(G19=0,"n.a.",I19/G19))))</x:f>
      </x:c>
      <x:c r="T19" s="14" t="str">
        <x:f>IF(A19="","",IF(C19&lt;&gt;"AEO/GEO","n.a.",IF(OR(COUNT(J19,G19)&lt;&gt;2,Q19="",J19&gt;G19),"Missing / invalid",IF(G19=0,"n.a.",J19/G19))))</x:f>
      </x:c>
      <x:c r="U19" s="14" t="str">
        <x:f>IF(A19="","",IF(C19&lt;&gt;"AEO/GEO","n.a.",IF(OR(COUNT(L19,K19)&lt;&gt;2,Q19="",L19&gt;K19),"Missing / invalid",IF(K19=0,"n.a.",L19/K19))))</x:f>
      </x:c>
      <x:c r="V19" s="14" t="str">
        <x:f>IF(A19="","",IF(C19&lt;&gt;"SEO","n.a.",IF(OR(COUNT(N19,M19)&lt;&gt;2,Q19="",N19&gt;M19),"Missing / invalid",IF(M19=0,"n.a.",N19/M19))))</x:f>
      </x:c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</x:row>
    <x:row r="20" ht="23" customHeight="1">
      <x:c r="A20" s="15"/>
      <x:c r="B20" s="15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14" t="str">
        <x:f>IF(A20="","",IF(C20&lt;&gt;"AEO/GEO","n.a.",IF(OR(COUNT(H20,G20)&lt;&gt;2,Q20="",H20&gt;G20),"Missing / invalid",IF(G20=0,"n.a.",H20/G20))))</x:f>
      </x:c>
      <x:c r="S20" s="14" t="str">
        <x:f>IF(A20="","",IF(C20&lt;&gt;"AEO/GEO","n.a.",IF(OR(COUNT(I20,G20)&lt;&gt;2,Q20="",I20&gt;G20),"Missing / invalid",IF(G20=0,"n.a.",I20/G20))))</x:f>
      </x:c>
      <x:c r="T20" s="14" t="str">
        <x:f>IF(A20="","",IF(C20&lt;&gt;"AEO/GEO","n.a.",IF(OR(COUNT(J20,G20)&lt;&gt;2,Q20="",J20&gt;G20),"Missing / invalid",IF(G20=0,"n.a.",J20/G20))))</x:f>
      </x:c>
      <x:c r="U20" s="14" t="str">
        <x:f>IF(A20="","",IF(C20&lt;&gt;"AEO/GEO","n.a.",IF(OR(COUNT(L20,K20)&lt;&gt;2,Q20="",L20&gt;K20),"Missing / invalid",IF(K20=0,"n.a.",L20/K20))))</x:f>
      </x:c>
      <x:c r="V20" s="14" t="str">
        <x:f>IF(A20="","",IF(C20&lt;&gt;"SEO","n.a.",IF(OR(COUNT(N20,M20)&lt;&gt;2,Q20="",N20&gt;M20),"Missing / invalid",IF(M20=0,"n.a.",N20/M20))))</x:f>
      </x:c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</x:row>
    <x:row r="21" ht="23" customHeight="1">
      <x:c r="A21" s="15"/>
      <x:c r="B21" s="15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  <x:c r="R21" s="14" t="str">
        <x:f>IF(A21="","",IF(C21&lt;&gt;"AEO/GEO","n.a.",IF(OR(COUNT(H21,G21)&lt;&gt;2,Q21="",H21&gt;G21),"Missing / invalid",IF(G21=0,"n.a.",H21/G21))))</x:f>
      </x:c>
      <x:c r="S21" s="14" t="str">
        <x:f>IF(A21="","",IF(C21&lt;&gt;"AEO/GEO","n.a.",IF(OR(COUNT(I21,G21)&lt;&gt;2,Q21="",I21&gt;G21),"Missing / invalid",IF(G21=0,"n.a.",I21/G21))))</x:f>
      </x:c>
      <x:c r="T21" s="14" t="str">
        <x:f>IF(A21="","",IF(C21&lt;&gt;"AEO/GEO","n.a.",IF(OR(COUNT(J21,G21)&lt;&gt;2,Q21="",J21&gt;G21),"Missing / invalid",IF(G21=0,"n.a.",J21/G21))))</x:f>
      </x:c>
      <x:c r="U21" s="14" t="str">
        <x:f>IF(A21="","",IF(C21&lt;&gt;"AEO/GEO","n.a.",IF(OR(COUNT(L21,K21)&lt;&gt;2,Q21="",L21&gt;K21),"Missing / invalid",IF(K21=0,"n.a.",L21/K21))))</x:f>
      </x:c>
      <x:c r="V21" s="14" t="str">
        <x:f>IF(A21="","",IF(C21&lt;&gt;"SEO","n.a.",IF(OR(COUNT(N21,M21)&lt;&gt;2,Q21="",N21&gt;M21),"Missing / invalid",IF(M21=0,"n.a.",N21/M21))))</x:f>
      </x:c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</x:row>
    <x:row r="22" ht="23" customHeight="1">
      <x:c r="A22" s="15"/>
      <x:c r="B22" s="15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  <x:c r="R22" s="14" t="str">
        <x:f>IF(A22="","",IF(C22&lt;&gt;"AEO/GEO","n.a.",IF(OR(COUNT(H22,G22)&lt;&gt;2,Q22="",H22&gt;G22),"Missing / invalid",IF(G22=0,"n.a.",H22/G22))))</x:f>
      </x:c>
      <x:c r="S22" s="14" t="str">
        <x:f>IF(A22="","",IF(C22&lt;&gt;"AEO/GEO","n.a.",IF(OR(COUNT(I22,G22)&lt;&gt;2,Q22="",I22&gt;G22),"Missing / invalid",IF(G22=0,"n.a.",I22/G22))))</x:f>
      </x:c>
      <x:c r="T22" s="14" t="str">
        <x:f>IF(A22="","",IF(C22&lt;&gt;"AEO/GEO","n.a.",IF(OR(COUNT(J22,G22)&lt;&gt;2,Q22="",J22&gt;G22),"Missing / invalid",IF(G22=0,"n.a.",J22/G22))))</x:f>
      </x:c>
      <x:c r="U22" s="14" t="str">
        <x:f>IF(A22="","",IF(C22&lt;&gt;"AEO/GEO","n.a.",IF(OR(COUNT(L22,K22)&lt;&gt;2,Q22="",L22&gt;K22),"Missing / invalid",IF(K22=0,"n.a.",L22/K22))))</x:f>
      </x:c>
      <x:c r="V22" s="14" t="str">
        <x:f>IF(A22="","",IF(C22&lt;&gt;"SEO","n.a.",IF(OR(COUNT(N22,M22)&lt;&gt;2,Q22="",N22&gt;M22),"Missing / invalid",IF(M22=0,"n.a.",N22/M22))))</x:f>
      </x:c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</x:row>
    <x:row r="23" ht="23" customHeight="1">
      <x:c r="A23" s="15"/>
      <x:c r="B23" s="15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  <x:c r="R23" s="14" t="str">
        <x:f>IF(A23="","",IF(C23&lt;&gt;"AEO/GEO","n.a.",IF(OR(COUNT(H23,G23)&lt;&gt;2,Q23="",H23&gt;G23),"Missing / invalid",IF(G23=0,"n.a.",H23/G23))))</x:f>
      </x:c>
      <x:c r="S23" s="14" t="str">
        <x:f>IF(A23="","",IF(C23&lt;&gt;"AEO/GEO","n.a.",IF(OR(COUNT(I23,G23)&lt;&gt;2,Q23="",I23&gt;G23),"Missing / invalid",IF(G23=0,"n.a.",I23/G23))))</x:f>
      </x:c>
      <x:c r="T23" s="14" t="str">
        <x:f>IF(A23="","",IF(C23&lt;&gt;"AEO/GEO","n.a.",IF(OR(COUNT(J23,G23)&lt;&gt;2,Q23="",J23&gt;G23),"Missing / invalid",IF(G23=0,"n.a.",J23/G23))))</x:f>
      </x:c>
      <x:c r="U23" s="14" t="str">
        <x:f>IF(A23="","",IF(C23&lt;&gt;"AEO/GEO","n.a.",IF(OR(COUNT(L23,K23)&lt;&gt;2,Q23="",L23&gt;K23),"Missing / invalid",IF(K23=0,"n.a.",L23/K23))))</x:f>
      </x:c>
      <x:c r="V23" s="14" t="str">
        <x:f>IF(A23="","",IF(C23&lt;&gt;"SEO","n.a.",IF(OR(COUNT(N23,M23)&lt;&gt;2,Q23="",N23&gt;M23),"Missing / invalid",IF(M23=0,"n.a.",N23/M23))))</x:f>
      </x:c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</x:row>
    <x:row r="24" ht="23" customHeight="1">
      <x:c r="A24" s="15"/>
      <x:c r="B24" s="15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  <x:c r="R24" s="14" t="str">
        <x:f>IF(A24="","",IF(C24&lt;&gt;"AEO/GEO","n.a.",IF(OR(COUNT(H24,G24)&lt;&gt;2,Q24="",H24&gt;G24),"Missing / invalid",IF(G24=0,"n.a.",H24/G24))))</x:f>
      </x:c>
      <x:c r="S24" s="14" t="str">
        <x:f>IF(A24="","",IF(C24&lt;&gt;"AEO/GEO","n.a.",IF(OR(COUNT(I24,G24)&lt;&gt;2,Q24="",I24&gt;G24),"Missing / invalid",IF(G24=0,"n.a.",I24/G24))))</x:f>
      </x:c>
      <x:c r="T24" s="14" t="str">
        <x:f>IF(A24="","",IF(C24&lt;&gt;"AEO/GEO","n.a.",IF(OR(COUNT(J24,G24)&lt;&gt;2,Q24="",J24&gt;G24),"Missing / invalid",IF(G24=0,"n.a.",J24/G24))))</x:f>
      </x:c>
      <x:c r="U24" s="14" t="str">
        <x:f>IF(A24="","",IF(C24&lt;&gt;"AEO/GEO","n.a.",IF(OR(COUNT(L24,K24)&lt;&gt;2,Q24="",L24&gt;K24),"Missing / invalid",IF(K24=0,"n.a.",L24/K24))))</x:f>
      </x:c>
      <x:c r="V24" s="14" t="str">
        <x:f>IF(A24="","",IF(C24&lt;&gt;"SEO","n.a.",IF(OR(COUNT(N24,M24)&lt;&gt;2,Q24="",N24&gt;M24),"Missing / invalid",IF(M24=0,"n.a.",N24/M24))))</x:f>
      </x:c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</x:row>
    <x:row r="25" ht="23" customHeight="1">
      <x:c r="A25" s="15"/>
      <x:c r="B25" s="15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  <x:c r="R25" s="14" t="str">
        <x:f>IF(A25="","",IF(C25&lt;&gt;"AEO/GEO","n.a.",IF(OR(COUNT(H25,G25)&lt;&gt;2,Q25="",H25&gt;G25),"Missing / invalid",IF(G25=0,"n.a.",H25/G25))))</x:f>
      </x:c>
      <x:c r="S25" s="14" t="str">
        <x:f>IF(A25="","",IF(C25&lt;&gt;"AEO/GEO","n.a.",IF(OR(COUNT(I25,G25)&lt;&gt;2,Q25="",I25&gt;G25),"Missing / invalid",IF(G25=0,"n.a.",I25/G25))))</x:f>
      </x:c>
      <x:c r="T25" s="14" t="str">
        <x:f>IF(A25="","",IF(C25&lt;&gt;"AEO/GEO","n.a.",IF(OR(COUNT(J25,G25)&lt;&gt;2,Q25="",J25&gt;G25),"Missing / invalid",IF(G25=0,"n.a.",J25/G25))))</x:f>
      </x:c>
      <x:c r="U25" s="14" t="str">
        <x:f>IF(A25="","",IF(C25&lt;&gt;"AEO/GEO","n.a.",IF(OR(COUNT(L25,K25)&lt;&gt;2,Q25="",L25&gt;K25),"Missing / invalid",IF(K25=0,"n.a.",L25/K25))))</x:f>
      </x:c>
      <x:c r="V25" s="14" t="str">
        <x:f>IF(A25="","",IF(C25&lt;&gt;"SEO","n.a.",IF(OR(COUNT(N25,M25)&lt;&gt;2,Q25="",N25&gt;M25),"Missing / invalid",IF(M25=0,"n.a.",N25/M25))))</x:f>
      </x:c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</x:row>
    <x:row r="26" ht="23" customHeight="1">
      <x:c r="A26" s="15"/>
      <x:c r="B26" s="15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  <x:c r="R26" s="14" t="str">
        <x:f>IF(A26="","",IF(C26&lt;&gt;"AEO/GEO","n.a.",IF(OR(COUNT(H26,G26)&lt;&gt;2,Q26="",H26&gt;G26),"Missing / invalid",IF(G26=0,"n.a.",H26/G26))))</x:f>
      </x:c>
      <x:c r="S26" s="14" t="str">
        <x:f>IF(A26="","",IF(C26&lt;&gt;"AEO/GEO","n.a.",IF(OR(COUNT(I26,G26)&lt;&gt;2,Q26="",I26&gt;G26),"Missing / invalid",IF(G26=0,"n.a.",I26/G26))))</x:f>
      </x:c>
      <x:c r="T26" s="14" t="str">
        <x:f>IF(A26="","",IF(C26&lt;&gt;"AEO/GEO","n.a.",IF(OR(COUNT(J26,G26)&lt;&gt;2,Q26="",J26&gt;G26),"Missing / invalid",IF(G26=0,"n.a.",J26/G26))))</x:f>
      </x:c>
      <x:c r="U26" s="14" t="str">
        <x:f>IF(A26="","",IF(C26&lt;&gt;"AEO/GEO","n.a.",IF(OR(COUNT(L26,K26)&lt;&gt;2,Q26="",L26&gt;K26),"Missing / invalid",IF(K26=0,"n.a.",L26/K26))))</x:f>
      </x:c>
      <x:c r="V26" s="14" t="str">
        <x:f>IF(A26="","",IF(C26&lt;&gt;"SEO","n.a.",IF(OR(COUNT(N26,M26)&lt;&gt;2,Q26="",N26&gt;M26),"Missing / invalid",IF(M26=0,"n.a.",N26/M26))))</x:f>
      </x:c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</x:row>
    <x:row r="27" ht="23" customHeight="1">
      <x:c r="A27" s="15"/>
      <x:c r="B27" s="15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  <x:c r="R27" s="14" t="str">
        <x:f>IF(A27="","",IF(C27&lt;&gt;"AEO/GEO","n.a.",IF(OR(COUNT(H27,G27)&lt;&gt;2,Q27="",H27&gt;G27),"Missing / invalid",IF(G27=0,"n.a.",H27/G27))))</x:f>
      </x:c>
      <x:c r="S27" s="14" t="str">
        <x:f>IF(A27="","",IF(C27&lt;&gt;"AEO/GEO","n.a.",IF(OR(COUNT(I27,G27)&lt;&gt;2,Q27="",I27&gt;G27),"Missing / invalid",IF(G27=0,"n.a.",I27/G27))))</x:f>
      </x:c>
      <x:c r="T27" s="14" t="str">
        <x:f>IF(A27="","",IF(C27&lt;&gt;"AEO/GEO","n.a.",IF(OR(COUNT(J27,G27)&lt;&gt;2,Q27="",J27&gt;G27),"Missing / invalid",IF(G27=0,"n.a.",J27/G27))))</x:f>
      </x:c>
      <x:c r="U27" s="14" t="str">
        <x:f>IF(A27="","",IF(C27&lt;&gt;"AEO/GEO","n.a.",IF(OR(COUNT(L27,K27)&lt;&gt;2,Q27="",L27&gt;K27),"Missing / invalid",IF(K27=0,"n.a.",L27/K27))))</x:f>
      </x:c>
      <x:c r="V27" s="14" t="str">
        <x:f>IF(A27="","",IF(C27&lt;&gt;"SEO","n.a.",IF(OR(COUNT(N27,M27)&lt;&gt;2,Q27="",N27&gt;M27),"Missing / invalid",IF(M27=0,"n.a.",N27/M27))))</x:f>
      </x:c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</x:row>
    <x:row r="28" ht="23" customHeight="1">
      <x:c r="A28" s="15"/>
      <x:c r="B28" s="15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  <x:c r="R28" s="14" t="str">
        <x:f>IF(A28="","",IF(C28&lt;&gt;"AEO/GEO","n.a.",IF(OR(COUNT(H28,G28)&lt;&gt;2,Q28="",H28&gt;G28),"Missing / invalid",IF(G28=0,"n.a.",H28/G28))))</x:f>
      </x:c>
      <x:c r="S28" s="14" t="str">
        <x:f>IF(A28="","",IF(C28&lt;&gt;"AEO/GEO","n.a.",IF(OR(COUNT(I28,G28)&lt;&gt;2,Q28="",I28&gt;G28),"Missing / invalid",IF(G28=0,"n.a.",I28/G28))))</x:f>
      </x:c>
      <x:c r="T28" s="14" t="str">
        <x:f>IF(A28="","",IF(C28&lt;&gt;"AEO/GEO","n.a.",IF(OR(COUNT(J28,G28)&lt;&gt;2,Q28="",J28&gt;G28),"Missing / invalid",IF(G28=0,"n.a.",J28/G28))))</x:f>
      </x:c>
      <x:c r="U28" s="14" t="str">
        <x:f>IF(A28="","",IF(C28&lt;&gt;"AEO/GEO","n.a.",IF(OR(COUNT(L28,K28)&lt;&gt;2,Q28="",L28&gt;K28),"Missing / invalid",IF(K28=0,"n.a.",L28/K28))))</x:f>
      </x:c>
      <x:c r="V28" s="14" t="str">
        <x:f>IF(A28="","",IF(C28&lt;&gt;"SEO","n.a.",IF(OR(COUNT(N28,M28)&lt;&gt;2,Q28="",N28&gt;M28),"Missing / invalid",IF(M28=0,"n.a.",N28/M28))))</x:f>
      </x:c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</x:row>
    <x:row r="29" ht="23" customHeight="1">
      <x:c r="A29" s="15"/>
      <x:c r="B29" s="15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  <x:c r="R29" s="14" t="str">
        <x:f>IF(A29="","",IF(C29&lt;&gt;"AEO/GEO","n.a.",IF(OR(COUNT(H29,G29)&lt;&gt;2,Q29="",H29&gt;G29),"Missing / invalid",IF(G29=0,"n.a.",H29/G29))))</x:f>
      </x:c>
      <x:c r="S29" s="14" t="str">
        <x:f>IF(A29="","",IF(C29&lt;&gt;"AEO/GEO","n.a.",IF(OR(COUNT(I29,G29)&lt;&gt;2,Q29="",I29&gt;G29),"Missing / invalid",IF(G29=0,"n.a.",I29/G29))))</x:f>
      </x:c>
      <x:c r="T29" s="14" t="str">
        <x:f>IF(A29="","",IF(C29&lt;&gt;"AEO/GEO","n.a.",IF(OR(COUNT(J29,G29)&lt;&gt;2,Q29="",J29&gt;G29),"Missing / invalid",IF(G29=0,"n.a.",J29/G29))))</x:f>
      </x:c>
      <x:c r="U29" s="14" t="str">
        <x:f>IF(A29="","",IF(C29&lt;&gt;"AEO/GEO","n.a.",IF(OR(COUNT(L29,K29)&lt;&gt;2,Q29="",L29&gt;K29),"Missing / invalid",IF(K29=0,"n.a.",L29/K29))))</x:f>
      </x:c>
      <x:c r="V29" s="14" t="str">
        <x:f>IF(A29="","",IF(C29&lt;&gt;"SEO","n.a.",IF(OR(COUNT(N29,M29)&lt;&gt;2,Q29="",N29&gt;M29),"Missing / invalid",IF(M29=0,"n.a.",N29/M29))))</x:f>
      </x:c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</x:row>
    <x:row r="30" ht="23" customHeight="1">
      <x:c r="A30" s="15"/>
      <x:c r="B30" s="15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  <x:c r="R30" s="14" t="str">
        <x:f>IF(A30="","",IF(C30&lt;&gt;"AEO/GEO","n.a.",IF(OR(COUNT(H30,G30)&lt;&gt;2,Q30="",H30&gt;G30),"Missing / invalid",IF(G30=0,"n.a.",H30/G30))))</x:f>
      </x:c>
      <x:c r="S30" s="14" t="str">
        <x:f>IF(A30="","",IF(C30&lt;&gt;"AEO/GEO","n.a.",IF(OR(COUNT(I30,G30)&lt;&gt;2,Q30="",I30&gt;G30),"Missing / invalid",IF(G30=0,"n.a.",I30/G30))))</x:f>
      </x:c>
      <x:c r="T30" s="14" t="str">
        <x:f>IF(A30="","",IF(C30&lt;&gt;"AEO/GEO","n.a.",IF(OR(COUNT(J30,G30)&lt;&gt;2,Q30="",J30&gt;G30),"Missing / invalid",IF(G30=0,"n.a.",J30/G30))))</x:f>
      </x:c>
      <x:c r="U30" s="14" t="str">
        <x:f>IF(A30="","",IF(C30&lt;&gt;"AEO/GEO","n.a.",IF(OR(COUNT(L30,K30)&lt;&gt;2,Q30="",L30&gt;K30),"Missing / invalid",IF(K30=0,"n.a.",L30/K30))))</x:f>
      </x:c>
      <x:c r="V30" s="14" t="str">
        <x:f>IF(A30="","",IF(C30&lt;&gt;"SEO","n.a.",IF(OR(COUNT(N30,M30)&lt;&gt;2,Q30="",N30&gt;M30),"Missing / invalid",IF(M30=0,"n.a.",N30/M30))))</x:f>
      </x:c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</x:row>
    <x:row r="31" ht="23" customHeight="1">
      <x:c r="A31" s="15"/>
      <x:c r="B31" s="15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  <x:c r="R31" s="14" t="str">
        <x:f>IF(A31="","",IF(C31&lt;&gt;"AEO/GEO","n.a.",IF(OR(COUNT(H31,G31)&lt;&gt;2,Q31="",H31&gt;G31),"Missing / invalid",IF(G31=0,"n.a.",H31/G31))))</x:f>
      </x:c>
      <x:c r="S31" s="14" t="str">
        <x:f>IF(A31="","",IF(C31&lt;&gt;"AEO/GEO","n.a.",IF(OR(COUNT(I31,G31)&lt;&gt;2,Q31="",I31&gt;G31),"Missing / invalid",IF(G31=0,"n.a.",I31/G31))))</x:f>
      </x:c>
      <x:c r="T31" s="14" t="str">
        <x:f>IF(A31="","",IF(C31&lt;&gt;"AEO/GEO","n.a.",IF(OR(COUNT(J31,G31)&lt;&gt;2,Q31="",J31&gt;G31),"Missing / invalid",IF(G31=0,"n.a.",J31/G31))))</x:f>
      </x:c>
      <x:c r="U31" s="14" t="str">
        <x:f>IF(A31="","",IF(C31&lt;&gt;"AEO/GEO","n.a.",IF(OR(COUNT(L31,K31)&lt;&gt;2,Q31="",L31&gt;K31),"Missing / invalid",IF(K31=0,"n.a.",L31/K31))))</x:f>
      </x:c>
      <x:c r="V31" s="14" t="str">
        <x:f>IF(A31="","",IF(C31&lt;&gt;"SEO","n.a.",IF(OR(COUNT(N31,M31)&lt;&gt;2,Q31="",N31&gt;M31),"Missing / invalid",IF(M31=0,"n.a.",N31/M31))))</x:f>
      </x:c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</x:row>
    <x:row r="32" ht="23" customHeight="1">
      <x:c r="A32" s="15"/>
      <x:c r="B32" s="15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14" t="str">
        <x:f>IF(A32="","",IF(C32&lt;&gt;"AEO/GEO","n.a.",IF(OR(COUNT(H32,G32)&lt;&gt;2,Q32="",H32&gt;G32),"Missing / invalid",IF(G32=0,"n.a.",H32/G32))))</x:f>
      </x:c>
      <x:c r="S32" s="14" t="str">
        <x:f>IF(A32="","",IF(C32&lt;&gt;"AEO/GEO","n.a.",IF(OR(COUNT(I32,G32)&lt;&gt;2,Q32="",I32&gt;G32),"Missing / invalid",IF(G32=0,"n.a.",I32/G32))))</x:f>
      </x:c>
      <x:c r="T32" s="14" t="str">
        <x:f>IF(A32="","",IF(C32&lt;&gt;"AEO/GEO","n.a.",IF(OR(COUNT(J32,G32)&lt;&gt;2,Q32="",J32&gt;G32),"Missing / invalid",IF(G32=0,"n.a.",J32/G32))))</x:f>
      </x:c>
      <x:c r="U32" s="14" t="str">
        <x:f>IF(A32="","",IF(C32&lt;&gt;"AEO/GEO","n.a.",IF(OR(COUNT(L32,K32)&lt;&gt;2,Q32="",L32&gt;K32),"Missing / invalid",IF(K32=0,"n.a.",L32/K32))))</x:f>
      </x:c>
      <x:c r="V32" s="14" t="str">
        <x:f>IF(A32="","",IF(C32&lt;&gt;"SEO","n.a.",IF(OR(COUNT(N32,M32)&lt;&gt;2,Q32="",N32&gt;M32),"Missing / invalid",IF(M32=0,"n.a.",N32/M32))))</x:f>
      </x:c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</x:row>
    <x:row r="33" ht="23" customHeight="1">
      <x:c r="A33" s="15"/>
      <x:c r="B33" s="15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14" t="str">
        <x:f>IF(A33="","",IF(C33&lt;&gt;"AEO/GEO","n.a.",IF(OR(COUNT(H33,G33)&lt;&gt;2,Q33="",H33&gt;G33),"Missing / invalid",IF(G33=0,"n.a.",H33/G33))))</x:f>
      </x:c>
      <x:c r="S33" s="14" t="str">
        <x:f>IF(A33="","",IF(C33&lt;&gt;"AEO/GEO","n.a.",IF(OR(COUNT(I33,G33)&lt;&gt;2,Q33="",I33&gt;G33),"Missing / invalid",IF(G33=0,"n.a.",I33/G33))))</x:f>
      </x:c>
      <x:c r="T33" s="14" t="str">
        <x:f>IF(A33="","",IF(C33&lt;&gt;"AEO/GEO","n.a.",IF(OR(COUNT(J33,G33)&lt;&gt;2,Q33="",J33&gt;G33),"Missing / invalid",IF(G33=0,"n.a.",J33/G33))))</x:f>
      </x:c>
      <x:c r="U33" s="14" t="str">
        <x:f>IF(A33="","",IF(C33&lt;&gt;"AEO/GEO","n.a.",IF(OR(COUNT(L33,K33)&lt;&gt;2,Q33="",L33&gt;K33),"Missing / invalid",IF(K33=0,"n.a.",L33/K33))))</x:f>
      </x:c>
      <x:c r="V33" s="14" t="str">
        <x:f>IF(A33="","",IF(C33&lt;&gt;"SEO","n.a.",IF(OR(COUNT(N33,M33)&lt;&gt;2,Q33="",N33&gt;M33),"Missing / invalid",IF(M33=0,"n.a.",N33/M33))))</x:f>
      </x:c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</x:row>
    <x:row r="34" ht="23" customHeight="1">
      <x:c r="A34" s="15"/>
      <x:c r="B34" s="15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14" t="str">
        <x:f>IF(A34="","",IF(C34&lt;&gt;"AEO/GEO","n.a.",IF(OR(COUNT(H34,G34)&lt;&gt;2,Q34="",H34&gt;G34),"Missing / invalid",IF(G34=0,"n.a.",H34/G34))))</x:f>
      </x:c>
      <x:c r="S34" s="14" t="str">
        <x:f>IF(A34="","",IF(C34&lt;&gt;"AEO/GEO","n.a.",IF(OR(COUNT(I34,G34)&lt;&gt;2,Q34="",I34&gt;G34),"Missing / invalid",IF(G34=0,"n.a.",I34/G34))))</x:f>
      </x:c>
      <x:c r="T34" s="14" t="str">
        <x:f>IF(A34="","",IF(C34&lt;&gt;"AEO/GEO","n.a.",IF(OR(COUNT(J34,G34)&lt;&gt;2,Q34="",J34&gt;G34),"Missing / invalid",IF(G34=0,"n.a.",J34/G34))))</x:f>
      </x:c>
      <x:c r="U34" s="14" t="str">
        <x:f>IF(A34="","",IF(C34&lt;&gt;"AEO/GEO","n.a.",IF(OR(COUNT(L34,K34)&lt;&gt;2,Q34="",L34&gt;K34),"Missing / invalid",IF(K34=0,"n.a.",L34/K34))))</x:f>
      </x:c>
      <x:c r="V34" s="14" t="str">
        <x:f>IF(A34="","",IF(C34&lt;&gt;"SEO","n.a.",IF(OR(COUNT(N34,M34)&lt;&gt;2,Q34="",N34&gt;M34),"Missing / invalid",IF(M34=0,"n.a.",N34/M34))))</x:f>
      </x:c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</x:row>
    <x:row r="35" ht="23" customHeight="1">
      <x:c r="A35" s="15"/>
      <x:c r="B35" s="15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14" t="str">
        <x:f>IF(A35="","",IF(C35&lt;&gt;"AEO/GEO","n.a.",IF(OR(COUNT(H35,G35)&lt;&gt;2,Q35="",H35&gt;G35),"Missing / invalid",IF(G35=0,"n.a.",H35/G35))))</x:f>
      </x:c>
      <x:c r="S35" s="14" t="str">
        <x:f>IF(A35="","",IF(C35&lt;&gt;"AEO/GEO","n.a.",IF(OR(COUNT(I35,G35)&lt;&gt;2,Q35="",I35&gt;G35),"Missing / invalid",IF(G35=0,"n.a.",I35/G35))))</x:f>
      </x:c>
      <x:c r="T35" s="14" t="str">
        <x:f>IF(A35="","",IF(C35&lt;&gt;"AEO/GEO","n.a.",IF(OR(COUNT(J35,G35)&lt;&gt;2,Q35="",J35&gt;G35),"Missing / invalid",IF(G35=0,"n.a.",J35/G35))))</x:f>
      </x:c>
      <x:c r="U35" s="14" t="str">
        <x:f>IF(A35="","",IF(C35&lt;&gt;"AEO/GEO","n.a.",IF(OR(COUNT(L35,K35)&lt;&gt;2,Q35="",L35&gt;K35),"Missing / invalid",IF(K35=0,"n.a.",L35/K35))))</x:f>
      </x:c>
      <x:c r="V35" s="14" t="str">
        <x:f>IF(A35="","",IF(C35&lt;&gt;"SEO","n.a.",IF(OR(COUNT(N35,M35)&lt;&gt;2,Q35="",N35&gt;M35),"Missing / invalid",IF(M35=0,"n.a.",N35/M35))))</x:f>
      </x:c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</x:row>
    <x:row r="36" ht="23" customHeight="1">
      <x:c r="A36" s="15"/>
      <x:c r="B36" s="15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14" t="str">
        <x:f>IF(A36="","",IF(C36&lt;&gt;"AEO/GEO","n.a.",IF(OR(COUNT(H36,G36)&lt;&gt;2,Q36="",H36&gt;G36),"Missing / invalid",IF(G36=0,"n.a.",H36/G36))))</x:f>
      </x:c>
      <x:c r="S36" s="14" t="str">
        <x:f>IF(A36="","",IF(C36&lt;&gt;"AEO/GEO","n.a.",IF(OR(COUNT(I36,G36)&lt;&gt;2,Q36="",I36&gt;G36),"Missing / invalid",IF(G36=0,"n.a.",I36/G36))))</x:f>
      </x:c>
      <x:c r="T36" s="14" t="str">
        <x:f>IF(A36="","",IF(C36&lt;&gt;"AEO/GEO","n.a.",IF(OR(COUNT(J36,G36)&lt;&gt;2,Q36="",J36&gt;G36),"Missing / invalid",IF(G36=0,"n.a.",J36/G36))))</x:f>
      </x:c>
      <x:c r="U36" s="14" t="str">
        <x:f>IF(A36="","",IF(C36&lt;&gt;"AEO/GEO","n.a.",IF(OR(COUNT(L36,K36)&lt;&gt;2,Q36="",L36&gt;K36),"Missing / invalid",IF(K36=0,"n.a.",L36/K36))))</x:f>
      </x:c>
      <x:c r="V36" s="14" t="str">
        <x:f>IF(A36="","",IF(C36&lt;&gt;"SEO","n.a.",IF(OR(COUNT(N36,M36)&lt;&gt;2,Q36="",N36&gt;M36),"Missing / invalid",IF(M36=0,"n.a.",N36/M36))))</x:f>
      </x:c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</x:row>
    <x:row r="37" ht="23" customHeight="1">
      <x:c r="A37" s="15"/>
      <x:c r="B37" s="15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14" t="str">
        <x:f>IF(A37="","",IF(C37&lt;&gt;"AEO/GEO","n.a.",IF(OR(COUNT(H37,G37)&lt;&gt;2,Q37="",H37&gt;G37),"Missing / invalid",IF(G37=0,"n.a.",H37/G37))))</x:f>
      </x:c>
      <x:c r="S37" s="14" t="str">
        <x:f>IF(A37="","",IF(C37&lt;&gt;"AEO/GEO","n.a.",IF(OR(COUNT(I37,G37)&lt;&gt;2,Q37="",I37&gt;G37),"Missing / invalid",IF(G37=0,"n.a.",I37/G37))))</x:f>
      </x:c>
      <x:c r="T37" s="14" t="str">
        <x:f>IF(A37="","",IF(C37&lt;&gt;"AEO/GEO","n.a.",IF(OR(COUNT(J37,G37)&lt;&gt;2,Q37="",J37&gt;G37),"Missing / invalid",IF(G37=0,"n.a.",J37/G37))))</x:f>
      </x:c>
      <x:c r="U37" s="14" t="str">
        <x:f>IF(A37="","",IF(C37&lt;&gt;"AEO/GEO","n.a.",IF(OR(COUNT(L37,K37)&lt;&gt;2,Q37="",L37&gt;K37),"Missing / invalid",IF(K37=0,"n.a.",L37/K37))))</x:f>
      </x:c>
      <x:c r="V37" s="14" t="str">
        <x:f>IF(A37="","",IF(C37&lt;&gt;"SEO","n.a.",IF(OR(COUNT(N37,M37)&lt;&gt;2,Q37="",N37&gt;M37),"Missing / invalid",IF(M37=0,"n.a.",N37/M37))))</x:f>
      </x:c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</x:row>
    <x:row r="38" ht="23" customHeight="1">
      <x:c r="A38" s="15"/>
      <x:c r="B38" s="15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14" t="str">
        <x:f>IF(A38="","",IF(C38&lt;&gt;"AEO/GEO","n.a.",IF(OR(COUNT(H38,G38)&lt;&gt;2,Q38="",H38&gt;G38),"Missing / invalid",IF(G38=0,"n.a.",H38/G38))))</x:f>
      </x:c>
      <x:c r="S38" s="14" t="str">
        <x:f>IF(A38="","",IF(C38&lt;&gt;"AEO/GEO","n.a.",IF(OR(COUNT(I38,G38)&lt;&gt;2,Q38="",I38&gt;G38),"Missing / invalid",IF(G38=0,"n.a.",I38/G38))))</x:f>
      </x:c>
      <x:c r="T38" s="14" t="str">
        <x:f>IF(A38="","",IF(C38&lt;&gt;"AEO/GEO","n.a.",IF(OR(COUNT(J38,G38)&lt;&gt;2,Q38="",J38&gt;G38),"Missing / invalid",IF(G38=0,"n.a.",J38/G38))))</x:f>
      </x:c>
      <x:c r="U38" s="14" t="str">
        <x:f>IF(A38="","",IF(C38&lt;&gt;"AEO/GEO","n.a.",IF(OR(COUNT(L38,K38)&lt;&gt;2,Q38="",L38&gt;K38),"Missing / invalid",IF(K38=0,"n.a.",L38/K38))))</x:f>
      </x:c>
      <x:c r="V38" s="14" t="str">
        <x:f>IF(A38="","",IF(C38&lt;&gt;"SEO","n.a.",IF(OR(COUNT(N38,M38)&lt;&gt;2,Q38="",N38&gt;M38),"Missing / invalid",IF(M38=0,"n.a.",N38/M38))))</x:f>
      </x:c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</x:row>
    <x:row r="39" ht="23" customHeight="1">
      <x:c r="A39" s="15"/>
      <x:c r="B39" s="15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14" t="str">
        <x:f>IF(A39="","",IF(C39&lt;&gt;"AEO/GEO","n.a.",IF(OR(COUNT(H39,G39)&lt;&gt;2,Q39="",H39&gt;G39),"Missing / invalid",IF(G39=0,"n.a.",H39/G39))))</x:f>
      </x:c>
      <x:c r="S39" s="14" t="str">
        <x:f>IF(A39="","",IF(C39&lt;&gt;"AEO/GEO","n.a.",IF(OR(COUNT(I39,G39)&lt;&gt;2,Q39="",I39&gt;G39),"Missing / invalid",IF(G39=0,"n.a.",I39/G39))))</x:f>
      </x:c>
      <x:c r="T39" s="14" t="str">
        <x:f>IF(A39="","",IF(C39&lt;&gt;"AEO/GEO","n.a.",IF(OR(COUNT(J39,G39)&lt;&gt;2,Q39="",J39&gt;G39),"Missing / invalid",IF(G39=0,"n.a.",J39/G39))))</x:f>
      </x:c>
      <x:c r="U39" s="14" t="str">
        <x:f>IF(A39="","",IF(C39&lt;&gt;"AEO/GEO","n.a.",IF(OR(COUNT(L39,K39)&lt;&gt;2,Q39="",L39&gt;K39),"Missing / invalid",IF(K39=0,"n.a.",L39/K39))))</x:f>
      </x:c>
      <x:c r="V39" s="14" t="str">
        <x:f>IF(A39="","",IF(C39&lt;&gt;"SEO","n.a.",IF(OR(COUNT(N39,M39)&lt;&gt;2,Q39="",N39&gt;M39),"Missing / invalid",IF(M39=0,"n.a.",N39/M39))))</x:f>
      </x:c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</x:row>
    <x:row r="40" ht="23" customHeight="1">
      <x:c r="A40" s="15"/>
      <x:c r="B40" s="15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14" t="str">
        <x:f>IF(A40="","",IF(C40&lt;&gt;"AEO/GEO","n.a.",IF(OR(COUNT(H40,G40)&lt;&gt;2,Q40="",H40&gt;G40),"Missing / invalid",IF(G40=0,"n.a.",H40/G40))))</x:f>
      </x:c>
      <x:c r="S40" s="14" t="str">
        <x:f>IF(A40="","",IF(C40&lt;&gt;"AEO/GEO","n.a.",IF(OR(COUNT(I40,G40)&lt;&gt;2,Q40="",I40&gt;G40),"Missing / invalid",IF(G40=0,"n.a.",I40/G40))))</x:f>
      </x:c>
      <x:c r="T40" s="14" t="str">
        <x:f>IF(A40="","",IF(C40&lt;&gt;"AEO/GEO","n.a.",IF(OR(COUNT(J40,G40)&lt;&gt;2,Q40="",J40&gt;G40),"Missing / invalid",IF(G40=0,"n.a.",J40/G40))))</x:f>
      </x:c>
      <x:c r="U40" s="14" t="str">
        <x:f>IF(A40="","",IF(C40&lt;&gt;"AEO/GEO","n.a.",IF(OR(COUNT(L40,K40)&lt;&gt;2,Q40="",L40&gt;K40),"Missing / invalid",IF(K40=0,"n.a.",L40/K40))))</x:f>
      </x:c>
      <x:c r="V40" s="14" t="str">
        <x:f>IF(A40="","",IF(C40&lt;&gt;"SEO","n.a.",IF(OR(COUNT(N40,M40)&lt;&gt;2,Q40="",N40&gt;M40),"Missing / invalid",IF(M40=0,"n.a.",N40/M40))))</x:f>
      </x:c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</x:row>
    <x:row r="41" ht="23" customHeight="1">
      <x:c r="A41" s="15"/>
      <x:c r="B41" s="15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14" t="str">
        <x:f>IF(A41="","",IF(C41&lt;&gt;"AEO/GEO","n.a.",IF(OR(COUNT(H41,G41)&lt;&gt;2,Q41="",H41&gt;G41),"Missing / invalid",IF(G41=0,"n.a.",H41/G41))))</x:f>
      </x:c>
      <x:c r="S41" s="14" t="str">
        <x:f>IF(A41="","",IF(C41&lt;&gt;"AEO/GEO","n.a.",IF(OR(COUNT(I41,G41)&lt;&gt;2,Q41="",I41&gt;G41),"Missing / invalid",IF(G41=0,"n.a.",I41/G41))))</x:f>
      </x:c>
      <x:c r="T41" s="14" t="str">
        <x:f>IF(A41="","",IF(C41&lt;&gt;"AEO/GEO","n.a.",IF(OR(COUNT(J41,G41)&lt;&gt;2,Q41="",J41&gt;G41),"Missing / invalid",IF(G41=0,"n.a.",J41/G41))))</x:f>
      </x:c>
      <x:c r="U41" s="14" t="str">
        <x:f>IF(A41="","",IF(C41&lt;&gt;"AEO/GEO","n.a.",IF(OR(COUNT(L41,K41)&lt;&gt;2,Q41="",L41&gt;K41),"Missing / invalid",IF(K41=0,"n.a.",L41/K41))))</x:f>
      </x:c>
      <x:c r="V41" s="14" t="str">
        <x:f>IF(A41="","",IF(C41&lt;&gt;"SEO","n.a.",IF(OR(COUNT(N41,M41)&lt;&gt;2,Q41="",N41&gt;M41),"Missing / invalid",IF(M41=0,"n.a.",N41/M41))))</x:f>
      </x:c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</x:row>
    <x:row r="42" ht="23" customHeight="1">
      <x:c r="A42" s="15"/>
      <x:c r="B42" s="15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14" t="str">
        <x:f>IF(A42="","",IF(C42&lt;&gt;"AEO/GEO","n.a.",IF(OR(COUNT(H42,G42)&lt;&gt;2,Q42="",H42&gt;G42),"Missing / invalid",IF(G42=0,"n.a.",H42/G42))))</x:f>
      </x:c>
      <x:c r="S42" s="14" t="str">
        <x:f>IF(A42="","",IF(C42&lt;&gt;"AEO/GEO","n.a.",IF(OR(COUNT(I42,G42)&lt;&gt;2,Q42="",I42&gt;G42),"Missing / invalid",IF(G42=0,"n.a.",I42/G42))))</x:f>
      </x:c>
      <x:c r="T42" s="14" t="str">
        <x:f>IF(A42="","",IF(C42&lt;&gt;"AEO/GEO","n.a.",IF(OR(COUNT(J42,G42)&lt;&gt;2,Q42="",J42&gt;G42),"Missing / invalid",IF(G42=0,"n.a.",J42/G42))))</x:f>
      </x:c>
      <x:c r="U42" s="14" t="str">
        <x:f>IF(A42="","",IF(C42&lt;&gt;"AEO/GEO","n.a.",IF(OR(COUNT(L42,K42)&lt;&gt;2,Q42="",L42&gt;K42),"Missing / invalid",IF(K42=0,"n.a.",L42/K42))))</x:f>
      </x:c>
      <x:c r="V42" s="14" t="str">
        <x:f>IF(A42="","",IF(C42&lt;&gt;"SEO","n.a.",IF(OR(COUNT(N42,M42)&lt;&gt;2,Q42="",N42&gt;M42),"Missing / invalid",IF(M42=0,"n.a.",N42/M42))))</x:f>
      </x:c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</x:row>
    <x:row r="43" ht="23" customHeight="1">
      <x:c r="A43" s="15"/>
      <x:c r="B43" s="15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14" t="str">
        <x:f>IF(A43="","",IF(C43&lt;&gt;"AEO/GEO","n.a.",IF(OR(COUNT(H43,G43)&lt;&gt;2,Q43="",H43&gt;G43),"Missing / invalid",IF(G43=0,"n.a.",H43/G43))))</x:f>
      </x:c>
      <x:c r="S43" s="14" t="str">
        <x:f>IF(A43="","",IF(C43&lt;&gt;"AEO/GEO","n.a.",IF(OR(COUNT(I43,G43)&lt;&gt;2,Q43="",I43&gt;G43),"Missing / invalid",IF(G43=0,"n.a.",I43/G43))))</x:f>
      </x:c>
      <x:c r="T43" s="14" t="str">
        <x:f>IF(A43="","",IF(C43&lt;&gt;"AEO/GEO","n.a.",IF(OR(COUNT(J43,G43)&lt;&gt;2,Q43="",J43&gt;G43),"Missing / invalid",IF(G43=0,"n.a.",J43/G43))))</x:f>
      </x:c>
      <x:c r="U43" s="14" t="str">
        <x:f>IF(A43="","",IF(C43&lt;&gt;"AEO/GEO","n.a.",IF(OR(COUNT(L43,K43)&lt;&gt;2,Q43="",L43&gt;K43),"Missing / invalid",IF(K43=0,"n.a.",L43/K43))))</x:f>
      </x:c>
      <x:c r="V43" s="14" t="str">
        <x:f>IF(A43="","",IF(C43&lt;&gt;"SEO","n.a.",IF(OR(COUNT(N43,M43)&lt;&gt;2,Q43="",N43&gt;M43),"Missing / invalid",IF(M43=0,"n.a.",N43/M43))))</x:f>
      </x:c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</x:row>
    <x:row r="44" ht="23" customHeight="1">
      <x:c r="A44" s="15"/>
      <x:c r="B44" s="15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14" t="str">
        <x:f>IF(A44="","",IF(C44&lt;&gt;"AEO/GEO","n.a.",IF(OR(COUNT(H44,G44)&lt;&gt;2,Q44="",H44&gt;G44),"Missing / invalid",IF(G44=0,"n.a.",H44/G44))))</x:f>
      </x:c>
      <x:c r="S44" s="14" t="str">
        <x:f>IF(A44="","",IF(C44&lt;&gt;"AEO/GEO","n.a.",IF(OR(COUNT(I44,G44)&lt;&gt;2,Q44="",I44&gt;G44),"Missing / invalid",IF(G44=0,"n.a.",I44/G44))))</x:f>
      </x:c>
      <x:c r="T44" s="14" t="str">
        <x:f>IF(A44="","",IF(C44&lt;&gt;"AEO/GEO","n.a.",IF(OR(COUNT(J44,G44)&lt;&gt;2,Q44="",J44&gt;G44),"Missing / invalid",IF(G44=0,"n.a.",J44/G44))))</x:f>
      </x:c>
      <x:c r="U44" s="14" t="str">
        <x:f>IF(A44="","",IF(C44&lt;&gt;"AEO/GEO","n.a.",IF(OR(COUNT(L44,K44)&lt;&gt;2,Q44="",L44&gt;K44),"Missing / invalid",IF(K44=0,"n.a.",L44/K44))))</x:f>
      </x:c>
      <x:c r="V44" s="14" t="str">
        <x:f>IF(A44="","",IF(C44&lt;&gt;"SEO","n.a.",IF(OR(COUNT(N44,M44)&lt;&gt;2,Q44="",N44&gt;M44),"Missing / invalid",IF(M44=0,"n.a.",N44/M44))))</x:f>
      </x:c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</x:row>
    <x:row r="45" ht="23" customHeight="1">
      <x:c r="A45" s="15"/>
      <x:c r="B45" s="15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14" t="str">
        <x:f>IF(A45="","",IF(C45&lt;&gt;"AEO/GEO","n.a.",IF(OR(COUNT(H45,G45)&lt;&gt;2,Q45="",H45&gt;G45),"Missing / invalid",IF(G45=0,"n.a.",H45/G45))))</x:f>
      </x:c>
      <x:c r="S45" s="14" t="str">
        <x:f>IF(A45="","",IF(C45&lt;&gt;"AEO/GEO","n.a.",IF(OR(COUNT(I45,G45)&lt;&gt;2,Q45="",I45&gt;G45),"Missing / invalid",IF(G45=0,"n.a.",I45/G45))))</x:f>
      </x:c>
      <x:c r="T45" s="14" t="str">
        <x:f>IF(A45="","",IF(C45&lt;&gt;"AEO/GEO","n.a.",IF(OR(COUNT(J45,G45)&lt;&gt;2,Q45="",J45&gt;G45),"Missing / invalid",IF(G45=0,"n.a.",J45/G45))))</x:f>
      </x:c>
      <x:c r="U45" s="14" t="str">
        <x:f>IF(A45="","",IF(C45&lt;&gt;"AEO/GEO","n.a.",IF(OR(COUNT(L45,K45)&lt;&gt;2,Q45="",L45&gt;K45),"Missing / invalid",IF(K45=0,"n.a.",L45/K45))))</x:f>
      </x:c>
      <x:c r="V45" s="14" t="str">
        <x:f>IF(A45="","",IF(C45&lt;&gt;"SEO","n.a.",IF(OR(COUNT(N45,M45)&lt;&gt;2,Q45="",N45&gt;M45),"Missing / invalid",IF(M45=0,"n.a.",N45/M45))))</x:f>
      </x:c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</x:row>
    <x:row r="46" ht="23" customHeight="1">
      <x:c r="A46" s="15"/>
      <x:c r="B46" s="15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14" t="str">
        <x:f>IF(A46="","",IF(C46&lt;&gt;"AEO/GEO","n.a.",IF(OR(COUNT(H46,G46)&lt;&gt;2,Q46="",H46&gt;G46),"Missing / invalid",IF(G46=0,"n.a.",H46/G46))))</x:f>
      </x:c>
      <x:c r="S46" s="14" t="str">
        <x:f>IF(A46="","",IF(C46&lt;&gt;"AEO/GEO","n.a.",IF(OR(COUNT(I46,G46)&lt;&gt;2,Q46="",I46&gt;G46),"Missing / invalid",IF(G46=0,"n.a.",I46/G46))))</x:f>
      </x:c>
      <x:c r="T46" s="14" t="str">
        <x:f>IF(A46="","",IF(C46&lt;&gt;"AEO/GEO","n.a.",IF(OR(COUNT(J46,G46)&lt;&gt;2,Q46="",J46&gt;G46),"Missing / invalid",IF(G46=0,"n.a.",J46/G46))))</x:f>
      </x:c>
      <x:c r="U46" s="14" t="str">
        <x:f>IF(A46="","",IF(C46&lt;&gt;"AEO/GEO","n.a.",IF(OR(COUNT(L46,K46)&lt;&gt;2,Q46="",L46&gt;K46),"Missing / invalid",IF(K46=0,"n.a.",L46/K46))))</x:f>
      </x:c>
      <x:c r="V46" s="14" t="str">
        <x:f>IF(A46="","",IF(C46&lt;&gt;"SEO","n.a.",IF(OR(COUNT(N46,M46)&lt;&gt;2,Q46="",N46&gt;M46),"Missing / invalid",IF(M46=0,"n.a.",N46/M46))))</x:f>
      </x:c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</x:row>
    <x:row r="47" ht="23" customHeight="1">
      <x:c r="A47" s="15"/>
      <x:c r="B47" s="15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14" t="str">
        <x:f>IF(A47="","",IF(C47&lt;&gt;"AEO/GEO","n.a.",IF(OR(COUNT(H47,G47)&lt;&gt;2,Q47="",H47&gt;G47),"Missing / invalid",IF(G47=0,"n.a.",H47/G47))))</x:f>
      </x:c>
      <x:c r="S47" s="14" t="str">
        <x:f>IF(A47="","",IF(C47&lt;&gt;"AEO/GEO","n.a.",IF(OR(COUNT(I47,G47)&lt;&gt;2,Q47="",I47&gt;G47),"Missing / invalid",IF(G47=0,"n.a.",I47/G47))))</x:f>
      </x:c>
      <x:c r="T47" s="14" t="str">
        <x:f>IF(A47="","",IF(C47&lt;&gt;"AEO/GEO","n.a.",IF(OR(COUNT(J47,G47)&lt;&gt;2,Q47="",J47&gt;G47),"Missing / invalid",IF(G47=0,"n.a.",J47/G47))))</x:f>
      </x:c>
      <x:c r="U47" s="14" t="str">
        <x:f>IF(A47="","",IF(C47&lt;&gt;"AEO/GEO","n.a.",IF(OR(COUNT(L47,K47)&lt;&gt;2,Q47="",L47&gt;K47),"Missing / invalid",IF(K47=0,"n.a.",L47/K47))))</x:f>
      </x:c>
      <x:c r="V47" s="14" t="str">
        <x:f>IF(A47="","",IF(C47&lt;&gt;"SEO","n.a.",IF(OR(COUNT(N47,M47)&lt;&gt;2,Q47="",N47&gt;M47),"Missing / invalid",IF(M47=0,"n.a.",N47/M47))))</x:f>
      </x:c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</x:row>
    <x:row r="48" ht="23" customHeight="1">
      <x:c r="A48" s="15"/>
      <x:c r="B48" s="15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14" t="str">
        <x:f>IF(A48="","",IF(C48&lt;&gt;"AEO/GEO","n.a.",IF(OR(COUNT(H48,G48)&lt;&gt;2,Q48="",H48&gt;G48),"Missing / invalid",IF(G48=0,"n.a.",H48/G48))))</x:f>
      </x:c>
      <x:c r="S48" s="14" t="str">
        <x:f>IF(A48="","",IF(C48&lt;&gt;"AEO/GEO","n.a.",IF(OR(COUNT(I48,G48)&lt;&gt;2,Q48="",I48&gt;G48),"Missing / invalid",IF(G48=0,"n.a.",I48/G48))))</x:f>
      </x:c>
      <x:c r="T48" s="14" t="str">
        <x:f>IF(A48="","",IF(C48&lt;&gt;"AEO/GEO","n.a.",IF(OR(COUNT(J48,G48)&lt;&gt;2,Q48="",J48&gt;G48),"Missing / invalid",IF(G48=0,"n.a.",J48/G48))))</x:f>
      </x:c>
      <x:c r="U48" s="14" t="str">
        <x:f>IF(A48="","",IF(C48&lt;&gt;"AEO/GEO","n.a.",IF(OR(COUNT(L48,K48)&lt;&gt;2,Q48="",L48&gt;K48),"Missing / invalid",IF(K48=0,"n.a.",L48/K48))))</x:f>
      </x:c>
      <x:c r="V48" s="14" t="str">
        <x:f>IF(A48="","",IF(C48&lt;&gt;"SEO","n.a.",IF(OR(COUNT(N48,M48)&lt;&gt;2,Q48="",N48&gt;M48),"Missing / invalid",IF(M48=0,"n.a.",N48/M48))))</x:f>
      </x:c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</x:row>
    <x:row r="49" ht="23" customHeight="1">
      <x:c r="A49" s="15"/>
      <x:c r="B49" s="15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14" t="str">
        <x:f>IF(A49="","",IF(C49&lt;&gt;"AEO/GEO","n.a.",IF(OR(COUNT(H49,G49)&lt;&gt;2,Q49="",H49&gt;G49),"Missing / invalid",IF(G49=0,"n.a.",H49/G49))))</x:f>
      </x:c>
      <x:c r="S49" s="14" t="str">
        <x:f>IF(A49="","",IF(C49&lt;&gt;"AEO/GEO","n.a.",IF(OR(COUNT(I49,G49)&lt;&gt;2,Q49="",I49&gt;G49),"Missing / invalid",IF(G49=0,"n.a.",I49/G49))))</x:f>
      </x:c>
      <x:c r="T49" s="14" t="str">
        <x:f>IF(A49="","",IF(C49&lt;&gt;"AEO/GEO","n.a.",IF(OR(COUNT(J49,G49)&lt;&gt;2,Q49="",J49&gt;G49),"Missing / invalid",IF(G49=0,"n.a.",J49/G49))))</x:f>
      </x:c>
      <x:c r="U49" s="14" t="str">
        <x:f>IF(A49="","",IF(C49&lt;&gt;"AEO/GEO","n.a.",IF(OR(COUNT(L49,K49)&lt;&gt;2,Q49="",L49&gt;K49),"Missing / invalid",IF(K49=0,"n.a.",L49/K49))))</x:f>
      </x:c>
      <x:c r="V49" s="14" t="str">
        <x:f>IF(A49="","",IF(C49&lt;&gt;"SEO","n.a.",IF(OR(COUNT(N49,M49)&lt;&gt;2,Q49="",N49&gt;M49),"Missing / invalid",IF(M49=0,"n.a.",N49/M49))))</x:f>
      </x:c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</x:row>
    <x:row r="50" ht="23" customHeight="1">
      <x:c r="A50" s="15"/>
      <x:c r="B50" s="15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14" t="str">
        <x:f>IF(A50="","",IF(C50&lt;&gt;"AEO/GEO","n.a.",IF(OR(COUNT(H50,G50)&lt;&gt;2,Q50="",H50&gt;G50),"Missing / invalid",IF(G50=0,"n.a.",H50/G50))))</x:f>
      </x:c>
      <x:c r="S50" s="14" t="str">
        <x:f>IF(A50="","",IF(C50&lt;&gt;"AEO/GEO","n.a.",IF(OR(COUNT(I50,G50)&lt;&gt;2,Q50="",I50&gt;G50),"Missing / invalid",IF(G50=0,"n.a.",I50/G50))))</x:f>
      </x:c>
      <x:c r="T50" s="14" t="str">
        <x:f>IF(A50="","",IF(C50&lt;&gt;"AEO/GEO","n.a.",IF(OR(COUNT(J50,G50)&lt;&gt;2,Q50="",J50&gt;G50),"Missing / invalid",IF(G50=0,"n.a.",J50/G50))))</x:f>
      </x:c>
      <x:c r="U50" s="14" t="str">
        <x:f>IF(A50="","",IF(C50&lt;&gt;"AEO/GEO","n.a.",IF(OR(COUNT(L50,K50)&lt;&gt;2,Q50="",L50&gt;K50),"Missing / invalid",IF(K50=0,"n.a.",L50/K50))))</x:f>
      </x:c>
      <x:c r="V50" s="14" t="str">
        <x:f>IF(A50="","",IF(C50&lt;&gt;"SEO","n.a.",IF(OR(COUNT(N50,M50)&lt;&gt;2,Q50="",N50&gt;M50),"Missing / invalid",IF(M50=0,"n.a.",N50/M50))))</x:f>
      </x:c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</x:row>
    <x:row r="51" ht="23" customHeight="1">
      <x:c r="A51" s="15"/>
      <x:c r="B51" s="15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14" t="str">
        <x:f>IF(A51="","",IF(C51&lt;&gt;"AEO/GEO","n.a.",IF(OR(COUNT(H51,G51)&lt;&gt;2,Q51="",H51&gt;G51),"Missing / invalid",IF(G51=0,"n.a.",H51/G51))))</x:f>
      </x:c>
      <x:c r="S51" s="14" t="str">
        <x:f>IF(A51="","",IF(C51&lt;&gt;"AEO/GEO","n.a.",IF(OR(COUNT(I51,G51)&lt;&gt;2,Q51="",I51&gt;G51),"Missing / invalid",IF(G51=0,"n.a.",I51/G51))))</x:f>
      </x:c>
      <x:c r="T51" s="14" t="str">
        <x:f>IF(A51="","",IF(C51&lt;&gt;"AEO/GEO","n.a.",IF(OR(COUNT(J51,G51)&lt;&gt;2,Q51="",J51&gt;G51),"Missing / invalid",IF(G51=0,"n.a.",J51/G51))))</x:f>
      </x:c>
      <x:c r="U51" s="14" t="str">
        <x:f>IF(A51="","",IF(C51&lt;&gt;"AEO/GEO","n.a.",IF(OR(COUNT(L51,K51)&lt;&gt;2,Q51="",L51&gt;K51),"Missing / invalid",IF(K51=0,"n.a.",L51/K51))))</x:f>
      </x:c>
      <x:c r="V51" s="14" t="str">
        <x:f>IF(A51="","",IF(C51&lt;&gt;"SEO","n.a.",IF(OR(COUNT(N51,M51)&lt;&gt;2,Q51="",N51&gt;M51),"Missing / invalid",IF(M51=0,"n.a.",N51/M51))))</x:f>
      </x:c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</x:row>
    <x:row r="52" ht="23" customHeight="1">
      <x:c r="A52" s="15"/>
      <x:c r="B52" s="15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14" t="str">
        <x:f>IF(A52="","",IF(C52&lt;&gt;"AEO/GEO","n.a.",IF(OR(COUNT(H52,G52)&lt;&gt;2,Q52="",H52&gt;G52),"Missing / invalid",IF(G52=0,"n.a.",H52/G52))))</x:f>
      </x:c>
      <x:c r="S52" s="14" t="str">
        <x:f>IF(A52="","",IF(C52&lt;&gt;"AEO/GEO","n.a.",IF(OR(COUNT(I52,G52)&lt;&gt;2,Q52="",I52&gt;G52),"Missing / invalid",IF(G52=0,"n.a.",I52/G52))))</x:f>
      </x:c>
      <x:c r="T52" s="14" t="str">
        <x:f>IF(A52="","",IF(C52&lt;&gt;"AEO/GEO","n.a.",IF(OR(COUNT(J52,G52)&lt;&gt;2,Q52="",J52&gt;G52),"Missing / invalid",IF(G52=0,"n.a.",J52/G52))))</x:f>
      </x:c>
      <x:c r="U52" s="14" t="str">
        <x:f>IF(A52="","",IF(C52&lt;&gt;"AEO/GEO","n.a.",IF(OR(COUNT(L52,K52)&lt;&gt;2,Q52="",L52&gt;K52),"Missing / invalid",IF(K52=0,"n.a.",L52/K52))))</x:f>
      </x:c>
      <x:c r="V52" s="14" t="str">
        <x:f>IF(A52="","",IF(C52&lt;&gt;"SEO","n.a.",IF(OR(COUNT(N52,M52)&lt;&gt;2,Q52="",N52&gt;M52),"Missing / invalid",IF(M52=0,"n.a.",N52/M52))))</x:f>
      </x:c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</x:row>
    <x:row r="53" ht="23" customHeight="1">
      <x:c r="A53" s="15"/>
      <x:c r="B53" s="15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14" t="str">
        <x:f>IF(A53="","",IF(C53&lt;&gt;"AEO/GEO","n.a.",IF(OR(COUNT(H53,G53)&lt;&gt;2,Q53="",H53&gt;G53),"Missing / invalid",IF(G53=0,"n.a.",H53/G53))))</x:f>
      </x:c>
      <x:c r="S53" s="14" t="str">
        <x:f>IF(A53="","",IF(C53&lt;&gt;"AEO/GEO","n.a.",IF(OR(COUNT(I53,G53)&lt;&gt;2,Q53="",I53&gt;G53),"Missing / invalid",IF(G53=0,"n.a.",I53/G53))))</x:f>
      </x:c>
      <x:c r="T53" s="14" t="str">
        <x:f>IF(A53="","",IF(C53&lt;&gt;"AEO/GEO","n.a.",IF(OR(COUNT(J53,G53)&lt;&gt;2,Q53="",J53&gt;G53),"Missing / invalid",IF(G53=0,"n.a.",J53/G53))))</x:f>
      </x:c>
      <x:c r="U53" s="14" t="str">
        <x:f>IF(A53="","",IF(C53&lt;&gt;"AEO/GEO","n.a.",IF(OR(COUNT(L53,K53)&lt;&gt;2,Q53="",L53&gt;K53),"Missing / invalid",IF(K53=0,"n.a.",L53/K53))))</x:f>
      </x:c>
      <x:c r="V53" s="14" t="str">
        <x:f>IF(A53="","",IF(C53&lt;&gt;"SEO","n.a.",IF(OR(COUNT(N53,M53)&lt;&gt;2,Q53="",N53&gt;M53),"Missing / invalid",IF(M53=0,"n.a.",N53/M53))))</x:f>
      </x:c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</x:row>
    <x:row r="54" ht="23" customHeight="1">
      <x:c r="A54" s="15"/>
      <x:c r="B54" s="15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14" t="str">
        <x:f>IF(A54="","",IF(C54&lt;&gt;"AEO/GEO","n.a.",IF(OR(COUNT(H54,G54)&lt;&gt;2,Q54="",H54&gt;G54),"Missing / invalid",IF(G54=0,"n.a.",H54/G54))))</x:f>
      </x:c>
      <x:c r="S54" s="14" t="str">
        <x:f>IF(A54="","",IF(C54&lt;&gt;"AEO/GEO","n.a.",IF(OR(COUNT(I54,G54)&lt;&gt;2,Q54="",I54&gt;G54),"Missing / invalid",IF(G54=0,"n.a.",I54/G54))))</x:f>
      </x:c>
      <x:c r="T54" s="14" t="str">
        <x:f>IF(A54="","",IF(C54&lt;&gt;"AEO/GEO","n.a.",IF(OR(COUNT(J54,G54)&lt;&gt;2,Q54="",J54&gt;G54),"Missing / invalid",IF(G54=0,"n.a.",J54/G54))))</x:f>
      </x:c>
      <x:c r="U54" s="14" t="str">
        <x:f>IF(A54="","",IF(C54&lt;&gt;"AEO/GEO","n.a.",IF(OR(COUNT(L54,K54)&lt;&gt;2,Q54="",L54&gt;K54),"Missing / invalid",IF(K54=0,"n.a.",L54/K54))))</x:f>
      </x:c>
      <x:c r="V54" s="14" t="str">
        <x:f>IF(A54="","",IF(C54&lt;&gt;"SEO","n.a.",IF(OR(COUNT(N54,M54)&lt;&gt;2,Q54="",N54&gt;M54),"Missing / invalid",IF(M54=0,"n.a.",N54/M54))))</x:f>
      </x:c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</x:row>
    <x:row r="55" ht="23" customHeight="1">
      <x:c r="A55" s="15"/>
      <x:c r="B55" s="15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14" t="str">
        <x:f>IF(A55="","",IF(C55&lt;&gt;"AEO/GEO","n.a.",IF(OR(COUNT(H55,G55)&lt;&gt;2,Q55="",H55&gt;G55),"Missing / invalid",IF(G55=0,"n.a.",H55/G55))))</x:f>
      </x:c>
      <x:c r="S55" s="14" t="str">
        <x:f>IF(A55="","",IF(C55&lt;&gt;"AEO/GEO","n.a.",IF(OR(COUNT(I55,G55)&lt;&gt;2,Q55="",I55&gt;G55),"Missing / invalid",IF(G55=0,"n.a.",I55/G55))))</x:f>
      </x:c>
      <x:c r="T55" s="14" t="str">
        <x:f>IF(A55="","",IF(C55&lt;&gt;"AEO/GEO","n.a.",IF(OR(COUNT(J55,G55)&lt;&gt;2,Q55="",J55&gt;G55),"Missing / invalid",IF(G55=0,"n.a.",J55/G55))))</x:f>
      </x:c>
      <x:c r="U55" s="14" t="str">
        <x:f>IF(A55="","",IF(C55&lt;&gt;"AEO/GEO","n.a.",IF(OR(COUNT(L55,K55)&lt;&gt;2,Q55="",L55&gt;K55),"Missing / invalid",IF(K55=0,"n.a.",L55/K55))))</x:f>
      </x:c>
      <x:c r="V55" s="14" t="str">
        <x:f>IF(A55="","",IF(C55&lt;&gt;"SEO","n.a.",IF(OR(COUNT(N55,M55)&lt;&gt;2,Q55="",N55&gt;M55),"Missing / invalid",IF(M55=0,"n.a.",N55/M55))))</x:f>
      </x:c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</x:row>
    <x:row r="56" ht="23" customHeight="1">
      <x:c r="A56" s="15"/>
      <x:c r="B56" s="15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14" t="str">
        <x:f>IF(A56="","",IF(C56&lt;&gt;"AEO/GEO","n.a.",IF(OR(COUNT(H56,G56)&lt;&gt;2,Q56="",H56&gt;G56),"Missing / invalid",IF(G56=0,"n.a.",H56/G56))))</x:f>
      </x:c>
      <x:c r="S56" s="14" t="str">
        <x:f>IF(A56="","",IF(C56&lt;&gt;"AEO/GEO","n.a.",IF(OR(COUNT(I56,G56)&lt;&gt;2,Q56="",I56&gt;G56),"Missing / invalid",IF(G56=0,"n.a.",I56/G56))))</x:f>
      </x:c>
      <x:c r="T56" s="14" t="str">
        <x:f>IF(A56="","",IF(C56&lt;&gt;"AEO/GEO","n.a.",IF(OR(COUNT(J56,G56)&lt;&gt;2,Q56="",J56&gt;G56),"Missing / invalid",IF(G56=0,"n.a.",J56/G56))))</x:f>
      </x:c>
      <x:c r="U56" s="14" t="str">
        <x:f>IF(A56="","",IF(C56&lt;&gt;"AEO/GEO","n.a.",IF(OR(COUNT(L56,K56)&lt;&gt;2,Q56="",L56&gt;K56),"Missing / invalid",IF(K56=0,"n.a.",L56/K56))))</x:f>
      </x:c>
      <x:c r="V56" s="14" t="str">
        <x:f>IF(A56="","",IF(C56&lt;&gt;"SEO","n.a.",IF(OR(COUNT(N56,M56)&lt;&gt;2,Q56="",N56&gt;M56),"Missing / invalid",IF(M56=0,"n.a.",N56/M56))))</x:f>
      </x:c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</x:row>
    <x:row r="57" ht="23" customHeight="1">
      <x:c r="A57" s="15"/>
      <x:c r="B57" s="15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14" t="str">
        <x:f>IF(A57="","",IF(C57&lt;&gt;"AEO/GEO","n.a.",IF(OR(COUNT(H57,G57)&lt;&gt;2,Q57="",H57&gt;G57),"Missing / invalid",IF(G57=0,"n.a.",H57/G57))))</x:f>
      </x:c>
      <x:c r="S57" s="14" t="str">
        <x:f>IF(A57="","",IF(C57&lt;&gt;"AEO/GEO","n.a.",IF(OR(COUNT(I57,G57)&lt;&gt;2,Q57="",I57&gt;G57),"Missing / invalid",IF(G57=0,"n.a.",I57/G57))))</x:f>
      </x:c>
      <x:c r="T57" s="14" t="str">
        <x:f>IF(A57="","",IF(C57&lt;&gt;"AEO/GEO","n.a.",IF(OR(COUNT(J57,G57)&lt;&gt;2,Q57="",J57&gt;G57),"Missing / invalid",IF(G57=0,"n.a.",J57/G57))))</x:f>
      </x:c>
      <x:c r="U57" s="14" t="str">
        <x:f>IF(A57="","",IF(C57&lt;&gt;"AEO/GEO","n.a.",IF(OR(COUNT(L57,K57)&lt;&gt;2,Q57="",L57&gt;K57),"Missing / invalid",IF(K57=0,"n.a.",L57/K57))))</x:f>
      </x:c>
      <x:c r="V57" s="14" t="str">
        <x:f>IF(A57="","",IF(C57&lt;&gt;"SEO","n.a.",IF(OR(COUNT(N57,M57)&lt;&gt;2,Q57="",N57&gt;M57),"Missing / invalid",IF(M57=0,"n.a.",N57/M57))))</x:f>
      </x:c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</x:row>
    <x:row r="58" ht="23" customHeight="1">
      <x:c r="A58" s="15"/>
      <x:c r="B58" s="15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14" t="str">
        <x:f>IF(A58="","",IF(C58&lt;&gt;"AEO/GEO","n.a.",IF(OR(COUNT(H58,G58)&lt;&gt;2,Q58="",H58&gt;G58),"Missing / invalid",IF(G58=0,"n.a.",H58/G58))))</x:f>
      </x:c>
      <x:c r="S58" s="14" t="str">
        <x:f>IF(A58="","",IF(C58&lt;&gt;"AEO/GEO","n.a.",IF(OR(COUNT(I58,G58)&lt;&gt;2,Q58="",I58&gt;G58),"Missing / invalid",IF(G58=0,"n.a.",I58/G58))))</x:f>
      </x:c>
      <x:c r="T58" s="14" t="str">
        <x:f>IF(A58="","",IF(C58&lt;&gt;"AEO/GEO","n.a.",IF(OR(COUNT(J58,G58)&lt;&gt;2,Q58="",J58&gt;G58),"Missing / invalid",IF(G58=0,"n.a.",J58/G58))))</x:f>
      </x:c>
      <x:c r="U58" s="14" t="str">
        <x:f>IF(A58="","",IF(C58&lt;&gt;"AEO/GEO","n.a.",IF(OR(COUNT(L58,K58)&lt;&gt;2,Q58="",L58&gt;K58),"Missing / invalid",IF(K58=0,"n.a.",L58/K58))))</x:f>
      </x:c>
      <x:c r="V58" s="14" t="str">
        <x:f>IF(A58="","",IF(C58&lt;&gt;"SEO","n.a.",IF(OR(COUNT(N58,M58)&lt;&gt;2,Q58="",N58&gt;M58),"Missing / invalid",IF(M58=0,"n.a.",N58/M58))))</x:f>
      </x:c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</x:row>
    <x:row r="59" ht="23" customHeight="1">
      <x:c r="A59" s="15"/>
      <x:c r="B59" s="15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14" t="str">
        <x:f>IF(A59="","",IF(C59&lt;&gt;"AEO/GEO","n.a.",IF(OR(COUNT(H59,G59)&lt;&gt;2,Q59="",H59&gt;G59),"Missing / invalid",IF(G59=0,"n.a.",H59/G59))))</x:f>
      </x:c>
      <x:c r="S59" s="14" t="str">
        <x:f>IF(A59="","",IF(C59&lt;&gt;"AEO/GEO","n.a.",IF(OR(COUNT(I59,G59)&lt;&gt;2,Q59="",I59&gt;G59),"Missing / invalid",IF(G59=0,"n.a.",I59/G59))))</x:f>
      </x:c>
      <x:c r="T59" s="14" t="str">
        <x:f>IF(A59="","",IF(C59&lt;&gt;"AEO/GEO","n.a.",IF(OR(COUNT(J59,G59)&lt;&gt;2,Q59="",J59&gt;G59),"Missing / invalid",IF(G59=0,"n.a.",J59/G59))))</x:f>
      </x:c>
      <x:c r="U59" s="14" t="str">
        <x:f>IF(A59="","",IF(C59&lt;&gt;"AEO/GEO","n.a.",IF(OR(COUNT(L59,K59)&lt;&gt;2,Q59="",L59&gt;K59),"Missing / invalid",IF(K59=0,"n.a.",L59/K59))))</x:f>
      </x:c>
      <x:c r="V59" s="14" t="str">
        <x:f>IF(A59="","",IF(C59&lt;&gt;"SEO","n.a.",IF(OR(COUNT(N59,M59)&lt;&gt;2,Q59="",N59&gt;M59),"Missing / invalid",IF(M59=0,"n.a.",N59/M59))))</x:f>
      </x:c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</x:row>
    <x:row r="60" ht="23" customHeight="1">
      <x:c r="A60" s="15"/>
      <x:c r="B60" s="15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14" t="str">
        <x:f>IF(A60="","",IF(C60&lt;&gt;"AEO/GEO","n.a.",IF(OR(COUNT(H60,G60)&lt;&gt;2,Q60="",H60&gt;G60),"Missing / invalid",IF(G60=0,"n.a.",H60/G60))))</x:f>
      </x:c>
      <x:c r="S60" s="14" t="str">
        <x:f>IF(A60="","",IF(C60&lt;&gt;"AEO/GEO","n.a.",IF(OR(COUNT(I60,G60)&lt;&gt;2,Q60="",I60&gt;G60),"Missing / invalid",IF(G60=0,"n.a.",I60/G60))))</x:f>
      </x:c>
      <x:c r="T60" s="14" t="str">
        <x:f>IF(A60="","",IF(C60&lt;&gt;"AEO/GEO","n.a.",IF(OR(COUNT(J60,G60)&lt;&gt;2,Q60="",J60&gt;G60),"Missing / invalid",IF(G60=0,"n.a.",J60/G60))))</x:f>
      </x:c>
      <x:c r="U60" s="14" t="str">
        <x:f>IF(A60="","",IF(C60&lt;&gt;"AEO/GEO","n.a.",IF(OR(COUNT(L60,K60)&lt;&gt;2,Q60="",L60&gt;K60),"Missing / invalid",IF(K60=0,"n.a.",L60/K60))))</x:f>
      </x:c>
      <x:c r="V60" s="14" t="str">
        <x:f>IF(A60="","",IF(C60&lt;&gt;"SEO","n.a.",IF(OR(COUNT(N60,M60)&lt;&gt;2,Q60="",N60&gt;M60),"Missing / invalid",IF(M60=0,"n.a.",N60/M60))))</x:f>
      </x:c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</x:row>
    <x:row r="61" ht="23" customHeight="1">
      <x:c r="A61" s="15"/>
      <x:c r="B61" s="15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14" t="str">
        <x:f>IF(A61="","",IF(C61&lt;&gt;"AEO/GEO","n.a.",IF(OR(COUNT(H61,G61)&lt;&gt;2,Q61="",H61&gt;G61),"Missing / invalid",IF(G61=0,"n.a.",H61/G61))))</x:f>
      </x:c>
      <x:c r="S61" s="14" t="str">
        <x:f>IF(A61="","",IF(C61&lt;&gt;"AEO/GEO","n.a.",IF(OR(COUNT(I61,G61)&lt;&gt;2,Q61="",I61&gt;G61),"Missing / invalid",IF(G61=0,"n.a.",I61/G61))))</x:f>
      </x:c>
      <x:c r="T61" s="14" t="str">
        <x:f>IF(A61="","",IF(C61&lt;&gt;"AEO/GEO","n.a.",IF(OR(COUNT(J61,G61)&lt;&gt;2,Q61="",J61&gt;G61),"Missing / invalid",IF(G61=0,"n.a.",J61/G61))))</x:f>
      </x:c>
      <x:c r="U61" s="14" t="str">
        <x:f>IF(A61="","",IF(C61&lt;&gt;"AEO/GEO","n.a.",IF(OR(COUNT(L61,K61)&lt;&gt;2,Q61="",L61&gt;K61),"Missing / invalid",IF(K61=0,"n.a.",L61/K61))))</x:f>
      </x:c>
      <x:c r="V61" s="14" t="str">
        <x:f>IF(A61="","",IF(C61&lt;&gt;"SEO","n.a.",IF(OR(COUNT(N61,M61)&lt;&gt;2,Q61="",N61&gt;M61),"Missing / invalid",IF(M61=0,"n.a.",N61/M61))))</x:f>
      </x:c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</x:row>
    <x:row r="62" ht="23" customHeight="1">
      <x:c r="A62" s="15"/>
      <x:c r="B62" s="15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14" t="str">
        <x:f>IF(A62="","",IF(C62&lt;&gt;"AEO/GEO","n.a.",IF(OR(COUNT(H62,G62)&lt;&gt;2,Q62="",H62&gt;G62),"Missing / invalid",IF(G62=0,"n.a.",H62/G62))))</x:f>
      </x:c>
      <x:c r="S62" s="14" t="str">
        <x:f>IF(A62="","",IF(C62&lt;&gt;"AEO/GEO","n.a.",IF(OR(COUNT(I62,G62)&lt;&gt;2,Q62="",I62&gt;G62),"Missing / invalid",IF(G62=0,"n.a.",I62/G62))))</x:f>
      </x:c>
      <x:c r="T62" s="14" t="str">
        <x:f>IF(A62="","",IF(C62&lt;&gt;"AEO/GEO","n.a.",IF(OR(COUNT(J62,G62)&lt;&gt;2,Q62="",J62&gt;G62),"Missing / invalid",IF(G62=0,"n.a.",J62/G62))))</x:f>
      </x:c>
      <x:c r="U62" s="14" t="str">
        <x:f>IF(A62="","",IF(C62&lt;&gt;"AEO/GEO","n.a.",IF(OR(COUNT(L62,K62)&lt;&gt;2,Q62="",L62&gt;K62),"Missing / invalid",IF(K62=0,"n.a.",L62/K62))))</x:f>
      </x:c>
      <x:c r="V62" s="14" t="str">
        <x:f>IF(A62="","",IF(C62&lt;&gt;"SEO","n.a.",IF(OR(COUNT(N62,M62)&lt;&gt;2,Q62="",N62&gt;M62),"Missing / invalid",IF(M62=0,"n.a.",N62/M62))))</x:f>
      </x:c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</x:row>
    <x:row r="63" ht="23" customHeight="1">
      <x:c r="A63" s="15"/>
      <x:c r="B63" s="15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14" t="str">
        <x:f>IF(A63="","",IF(C63&lt;&gt;"AEO/GEO","n.a.",IF(OR(COUNT(H63,G63)&lt;&gt;2,Q63="",H63&gt;G63),"Missing / invalid",IF(G63=0,"n.a.",H63/G63))))</x:f>
      </x:c>
      <x:c r="S63" s="14" t="str">
        <x:f>IF(A63="","",IF(C63&lt;&gt;"AEO/GEO","n.a.",IF(OR(COUNT(I63,G63)&lt;&gt;2,Q63="",I63&gt;G63),"Missing / invalid",IF(G63=0,"n.a.",I63/G63))))</x:f>
      </x:c>
      <x:c r="T63" s="14" t="str">
        <x:f>IF(A63="","",IF(C63&lt;&gt;"AEO/GEO","n.a.",IF(OR(COUNT(J63,G63)&lt;&gt;2,Q63="",J63&gt;G63),"Missing / invalid",IF(G63=0,"n.a.",J63/G63))))</x:f>
      </x:c>
      <x:c r="U63" s="14" t="str">
        <x:f>IF(A63="","",IF(C63&lt;&gt;"AEO/GEO","n.a.",IF(OR(COUNT(L63,K63)&lt;&gt;2,Q63="",L63&gt;K63),"Missing / invalid",IF(K63=0,"n.a.",L63/K63))))</x:f>
      </x:c>
      <x:c r="V63" s="14" t="str">
        <x:f>IF(A63="","",IF(C63&lt;&gt;"SEO","n.a.",IF(OR(COUNT(N63,M63)&lt;&gt;2,Q63="",N63&gt;M63),"Missing / invalid",IF(M63=0,"n.a.",N63/M63))))</x:f>
      </x:c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</x:row>
    <x:row r="64" ht="23" customHeight="1">
      <x:c r="A64" s="15"/>
      <x:c r="B64" s="15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14" t="str">
        <x:f>IF(A64="","",IF(C64&lt;&gt;"AEO/GEO","n.a.",IF(OR(COUNT(H64,G64)&lt;&gt;2,Q64="",H64&gt;G64),"Missing / invalid",IF(G64=0,"n.a.",H64/G64))))</x:f>
      </x:c>
      <x:c r="S64" s="14" t="str">
        <x:f>IF(A64="","",IF(C64&lt;&gt;"AEO/GEO","n.a.",IF(OR(COUNT(I64,G64)&lt;&gt;2,Q64="",I64&gt;G64),"Missing / invalid",IF(G64=0,"n.a.",I64/G64))))</x:f>
      </x:c>
      <x:c r="T64" s="14" t="str">
        <x:f>IF(A64="","",IF(C64&lt;&gt;"AEO/GEO","n.a.",IF(OR(COUNT(J64,G64)&lt;&gt;2,Q64="",J64&gt;G64),"Missing / invalid",IF(G64=0,"n.a.",J64/G64))))</x:f>
      </x:c>
      <x:c r="U64" s="14" t="str">
        <x:f>IF(A64="","",IF(C64&lt;&gt;"AEO/GEO","n.a.",IF(OR(COUNT(L64,K64)&lt;&gt;2,Q64="",L64&gt;K64),"Missing / invalid",IF(K64=0,"n.a.",L64/K64))))</x:f>
      </x:c>
      <x:c r="V64" s="14" t="str">
        <x:f>IF(A64="","",IF(C64&lt;&gt;"SEO","n.a.",IF(OR(COUNT(N64,M64)&lt;&gt;2,Q64="",N64&gt;M64),"Missing / invalid",IF(M64=0,"n.a.",N64/M64))))</x:f>
      </x:c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</x:row>
    <x:row r="65" ht="23" customHeight="1">
      <x:c r="A65" s="15"/>
      <x:c r="B65" s="15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14" t="str">
        <x:f>IF(A65="","",IF(C65&lt;&gt;"AEO/GEO","n.a.",IF(OR(COUNT(H65,G65)&lt;&gt;2,Q65="",H65&gt;G65),"Missing / invalid",IF(G65=0,"n.a.",H65/G65))))</x:f>
      </x:c>
      <x:c r="S65" s="14" t="str">
        <x:f>IF(A65="","",IF(C65&lt;&gt;"AEO/GEO","n.a.",IF(OR(COUNT(I65,G65)&lt;&gt;2,Q65="",I65&gt;G65),"Missing / invalid",IF(G65=0,"n.a.",I65/G65))))</x:f>
      </x:c>
      <x:c r="T65" s="14" t="str">
        <x:f>IF(A65="","",IF(C65&lt;&gt;"AEO/GEO","n.a.",IF(OR(COUNT(J65,G65)&lt;&gt;2,Q65="",J65&gt;G65),"Missing / invalid",IF(G65=0,"n.a.",J65/G65))))</x:f>
      </x:c>
      <x:c r="U65" s="14" t="str">
        <x:f>IF(A65="","",IF(C65&lt;&gt;"AEO/GEO","n.a.",IF(OR(COUNT(L65,K65)&lt;&gt;2,Q65="",L65&gt;K65),"Missing / invalid",IF(K65=0,"n.a.",L65/K65))))</x:f>
      </x:c>
      <x:c r="V65" s="14" t="str">
        <x:f>IF(A65="","",IF(C65&lt;&gt;"SEO","n.a.",IF(OR(COUNT(N65,M65)&lt;&gt;2,Q65="",N65&gt;M65),"Missing / invalid",IF(M65=0,"n.a.",N65/M65))))</x:f>
      </x:c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</x:row>
  </x:sheetData>
  <x:conditionalFormatting sqref="A1:AI70">
    <x:cfRule type="containsText" dxfId="3" priority="1" operator="containsText" text="Missing"/>
  </x:conditionalFormatting>
  <x:dataValidations count="2">
    <x:dataValidation type="list" sqref="C6:C65">
      <x:formula1>"SEO,AEO/GEO,AI referrals"</x:formula1>
    </x:dataValidation>
    <x:dataValidation type="decimal" operator="greaterThanOrEqual" sqref="G6:P6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b4ea29e829461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  <x:col min="13" max="13" width="32" hidden="0" customWidth="1"/>
    <x:col min="14" max="14" width="32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23" customHeight="1">
      <x:c r="A2" s="2" t="str">
        <x:v>Metric observations database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3" customHeight="1">
      <x:c r="A3" s="3" t="str">
        <x:v>One metric × period × motion × segment × evidence source. Reference definitions in Metric dictionary.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</x:row>
    <x:row r="5" ht="44" customHeight="1">
      <x:c r="A5" s="6" t="str">
        <x:v>Observation ID</x:v>
      </x:c>
      <x:c r="B5" s="6" t="str">
        <x:v>Metric ID</x:v>
      </x:c>
      <x:c r="C5" s="6" t="str">
        <x:v>Period start</x:v>
      </x:c>
      <x:c r="D5" s="6" t="str">
        <x:v>Period end</x:v>
      </x:c>
      <x:c r="E5" s="6" t="str">
        <x:v>Motion</x:v>
      </x:c>
      <x:c r="F5" s="6" t="str">
        <x:v>Channel / segment</x:v>
      </x:c>
      <x:c r="G5" s="6" t="str">
        <x:v>Numerator / amount</x:v>
      </x:c>
      <x:c r="H5" s="6" t="str">
        <x:v>Denominator</x:v>
      </x:c>
      <x:c r="I5" s="6" t="str">
        <x:v>Calculation</x:v>
      </x:c>
      <x:c r="J5" s="6" t="str">
        <x:v>Result</x:v>
      </x:c>
      <x:c r="K5" s="6" t="str">
        <x:v>Evidence status</x:v>
      </x:c>
      <x:c r="L5" s="6" t="str">
        <x:v>Source / extract</x:v>
      </x:c>
      <x:c r="M5" s="6" t="str">
        <x:v>Owner</x:v>
      </x:c>
      <x:c r="N5" s="6" t="str">
        <x:v>Notes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</x:row>
    <x:row r="6" ht="23" customHeight="1">
      <x:c r="A6" s="7"/>
      <x:c r="B6" s="7"/>
      <x:c r="C6" s="15"/>
      <x:c r="D6" s="15"/>
      <x:c r="E6" s="7"/>
      <x:c r="F6" s="7"/>
      <x:c r="G6" s="7"/>
      <x:c r="H6" s="7"/>
      <x:c r="I6" s="7"/>
      <x:c r="J6" s="17" t="str">
        <x:f>IF(A6="","",IF(OR(B6="",K6="",K6="Not supplied",L6="",NOT(ISNUMBER(G6))),"Not supplied",IF(I6="Amount",G6,IF(I6&lt;&gt;"Ratio","Select calculation",IF(NOT(ISNUMBER(H6)),"Not supplied",IF(H6=0,"n.a.",G6/H6))))))</x:f>
      </x:c>
      <x:c r="K6" s="7"/>
      <x:c r="L6" s="7"/>
      <x:c r="M6" s="7"/>
      <x:c r="N6" s="7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</x:row>
    <x:row r="7" ht="23" customHeight="1">
      <x:c r="A7" s="7"/>
      <x:c r="B7" s="7"/>
      <x:c r="C7" s="15"/>
      <x:c r="D7" s="15"/>
      <x:c r="E7" s="7"/>
      <x:c r="F7" s="7"/>
      <x:c r="G7" s="7"/>
      <x:c r="H7" s="7"/>
      <x:c r="I7" s="7"/>
      <x:c r="J7" s="17" t="str">
        <x:f>IF(A7="","",IF(OR(B7="",K7="",K7="Not supplied",L7="",NOT(ISNUMBER(G7))),"Not supplied",IF(I7="Amount",G7,IF(I7&lt;&gt;"Ratio","Select calculation",IF(NOT(ISNUMBER(H7)),"Not supplied",IF(H7=0,"n.a.",G7/H7))))))</x:f>
      </x:c>
      <x:c r="K7" s="7"/>
      <x:c r="L7" s="7"/>
      <x:c r="M7" s="7"/>
      <x:c r="N7" s="7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</x:row>
    <x:row r="8" ht="23" customHeight="1">
      <x:c r="A8" s="7"/>
      <x:c r="B8" s="7"/>
      <x:c r="C8" s="15"/>
      <x:c r="D8" s="15"/>
      <x:c r="E8" s="7"/>
      <x:c r="F8" s="7"/>
      <x:c r="G8" s="7"/>
      <x:c r="H8" s="7"/>
      <x:c r="I8" s="7"/>
      <x:c r="J8" s="17" t="str">
        <x:f>IF(A8="","",IF(OR(B8="",K8="",K8="Not supplied",L8="",NOT(ISNUMBER(G8))),"Not supplied",IF(I8="Amount",G8,IF(I8&lt;&gt;"Ratio","Select calculation",IF(NOT(ISNUMBER(H8)),"Not supplied",IF(H8=0,"n.a.",G8/H8))))))</x:f>
      </x:c>
      <x:c r="K8" s="7"/>
      <x:c r="L8" s="7"/>
      <x:c r="M8" s="7"/>
      <x:c r="N8" s="7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</x:row>
    <x:row r="9" ht="23" customHeight="1">
      <x:c r="A9" s="7"/>
      <x:c r="B9" s="7"/>
      <x:c r="C9" s="15"/>
      <x:c r="D9" s="15"/>
      <x:c r="E9" s="7"/>
      <x:c r="F9" s="7"/>
      <x:c r="G9" s="7"/>
      <x:c r="H9" s="7"/>
      <x:c r="I9" s="7"/>
      <x:c r="J9" s="17" t="str">
        <x:f>IF(A9="","",IF(OR(B9="",K9="",K9="Not supplied",L9="",NOT(ISNUMBER(G9))),"Not supplied",IF(I9="Amount",G9,IF(I9&lt;&gt;"Ratio","Select calculation",IF(NOT(ISNUMBER(H9)),"Not supplied",IF(H9=0,"n.a.",G9/H9))))))</x:f>
      </x:c>
      <x:c r="K9" s="7"/>
      <x:c r="L9" s="7"/>
      <x:c r="M9" s="7"/>
      <x:c r="N9" s="7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</x:row>
    <x:row r="10" ht="23" customHeight="1">
      <x:c r="A10" s="7"/>
      <x:c r="B10" s="7"/>
      <x:c r="C10" s="15"/>
      <x:c r="D10" s="15"/>
      <x:c r="E10" s="7"/>
      <x:c r="F10" s="7"/>
      <x:c r="G10" s="7"/>
      <x:c r="H10" s="7"/>
      <x:c r="I10" s="7"/>
      <x:c r="J10" s="17" t="str">
        <x:f>IF(A10="","",IF(OR(B10="",K10="",K10="Not supplied",L10="",NOT(ISNUMBER(G10))),"Not supplied",IF(I10="Amount",G10,IF(I10&lt;&gt;"Ratio","Select calculation",IF(NOT(ISNUMBER(H10)),"Not supplied",IF(H10=0,"n.a.",G10/H10))))))</x:f>
      </x:c>
      <x:c r="K10" s="7"/>
      <x:c r="L10" s="7"/>
      <x:c r="M10" s="7"/>
      <x:c r="N10" s="7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</x:row>
    <x:row r="11" ht="23" customHeight="1">
      <x:c r="A11" s="7"/>
      <x:c r="B11" s="7"/>
      <x:c r="C11" s="15"/>
      <x:c r="D11" s="15"/>
      <x:c r="E11" s="7"/>
      <x:c r="F11" s="7"/>
      <x:c r="G11" s="7"/>
      <x:c r="H11" s="7"/>
      <x:c r="I11" s="7"/>
      <x:c r="J11" s="17" t="str">
        <x:f>IF(A11="","",IF(OR(B11="",K11="",K11="Not supplied",L11="",NOT(ISNUMBER(G11))),"Not supplied",IF(I11="Amount",G11,IF(I11&lt;&gt;"Ratio","Select calculation",IF(NOT(ISNUMBER(H11)),"Not supplied",IF(H11=0,"n.a.",G11/H11))))))</x:f>
      </x:c>
      <x:c r="K11" s="7"/>
      <x:c r="L11" s="7"/>
      <x:c r="M11" s="7"/>
      <x:c r="N11" s="7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</x:row>
    <x:row r="12" ht="23" customHeight="1">
      <x:c r="A12" s="7"/>
      <x:c r="B12" s="7"/>
      <x:c r="C12" s="15"/>
      <x:c r="D12" s="15"/>
      <x:c r="E12" s="7"/>
      <x:c r="F12" s="7"/>
      <x:c r="G12" s="7"/>
      <x:c r="H12" s="7"/>
      <x:c r="I12" s="7"/>
      <x:c r="J12" s="17" t="str">
        <x:f>IF(A12="","",IF(OR(B12="",K12="",K12="Not supplied",L12="",NOT(ISNUMBER(G12))),"Not supplied",IF(I12="Amount",G12,IF(I12&lt;&gt;"Ratio","Select calculation",IF(NOT(ISNUMBER(H12)),"Not supplied",IF(H12=0,"n.a.",G12/H12))))))</x:f>
      </x:c>
      <x:c r="K12" s="7"/>
      <x:c r="L12" s="7"/>
      <x:c r="M12" s="7"/>
      <x:c r="N12" s="7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</x:row>
    <x:row r="13" ht="23" customHeight="1">
      <x:c r="A13" s="7"/>
      <x:c r="B13" s="7"/>
      <x:c r="C13" s="15"/>
      <x:c r="D13" s="15"/>
      <x:c r="E13" s="7"/>
      <x:c r="F13" s="7"/>
      <x:c r="G13" s="7"/>
      <x:c r="H13" s="7"/>
      <x:c r="I13" s="7"/>
      <x:c r="J13" s="17" t="str">
        <x:f>IF(A13="","",IF(OR(B13="",K13="",K13="Not supplied",L13="",NOT(ISNUMBER(G13))),"Not supplied",IF(I13="Amount",G13,IF(I13&lt;&gt;"Ratio","Select calculation",IF(NOT(ISNUMBER(H13)),"Not supplied",IF(H13=0,"n.a.",G13/H13))))))</x:f>
      </x:c>
      <x:c r="K13" s="7"/>
      <x:c r="L13" s="7"/>
      <x:c r="M13" s="7"/>
      <x:c r="N13" s="7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</x:row>
    <x:row r="14" ht="23" customHeight="1">
      <x:c r="A14" s="7"/>
      <x:c r="B14" s="7"/>
      <x:c r="C14" s="15"/>
      <x:c r="D14" s="15"/>
      <x:c r="E14" s="7"/>
      <x:c r="F14" s="7"/>
      <x:c r="G14" s="7"/>
      <x:c r="H14" s="7"/>
      <x:c r="I14" s="7"/>
      <x:c r="J14" s="17" t="str">
        <x:f>IF(A14="","",IF(OR(B14="",K14="",K14="Not supplied",L14="",NOT(ISNUMBER(G14))),"Not supplied",IF(I14="Amount",G14,IF(I14&lt;&gt;"Ratio","Select calculation",IF(NOT(ISNUMBER(H14)),"Not supplied",IF(H14=0,"n.a.",G14/H14))))))</x:f>
      </x:c>
      <x:c r="K14" s="7"/>
      <x:c r="L14" s="7"/>
      <x:c r="M14" s="7"/>
      <x:c r="N14" s="7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</x:row>
    <x:row r="15" ht="23" customHeight="1">
      <x:c r="A15" s="7"/>
      <x:c r="B15" s="7"/>
      <x:c r="C15" s="15"/>
      <x:c r="D15" s="15"/>
      <x:c r="E15" s="7"/>
      <x:c r="F15" s="7"/>
      <x:c r="G15" s="7"/>
      <x:c r="H15" s="7"/>
      <x:c r="I15" s="7"/>
      <x:c r="J15" s="17" t="str">
        <x:f>IF(A15="","",IF(OR(B15="",K15="",K15="Not supplied",L15="",NOT(ISNUMBER(G15))),"Not supplied",IF(I15="Amount",G15,IF(I15&lt;&gt;"Ratio","Select calculation",IF(NOT(ISNUMBER(H15)),"Not supplied",IF(H15=0,"n.a.",G15/H15))))))</x:f>
      </x:c>
      <x:c r="K15" s="7"/>
      <x:c r="L15" s="7"/>
      <x:c r="M15" s="7"/>
      <x:c r="N15" s="7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</x:row>
    <x:row r="16" ht="23" customHeight="1">
      <x:c r="A16" s="7"/>
      <x:c r="B16" s="7"/>
      <x:c r="C16" s="15"/>
      <x:c r="D16" s="15"/>
      <x:c r="E16" s="7"/>
      <x:c r="F16" s="7"/>
      <x:c r="G16" s="7"/>
      <x:c r="H16" s="7"/>
      <x:c r="I16" s="7"/>
      <x:c r="J16" s="17" t="str">
        <x:f>IF(A16="","",IF(OR(B16="",K16="",K16="Not supplied",L16="",NOT(ISNUMBER(G16))),"Not supplied",IF(I16="Amount",G16,IF(I16&lt;&gt;"Ratio","Select calculation",IF(NOT(ISNUMBER(H16)),"Not supplied",IF(H16=0,"n.a.",G16/H16))))))</x:f>
      </x:c>
      <x:c r="K16" s="7"/>
      <x:c r="L16" s="7"/>
      <x:c r="M16" s="7"/>
      <x:c r="N16" s="7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</x:row>
    <x:row r="17" ht="23" customHeight="1">
      <x:c r="A17" s="7"/>
      <x:c r="B17" s="7"/>
      <x:c r="C17" s="15"/>
      <x:c r="D17" s="15"/>
      <x:c r="E17" s="7"/>
      <x:c r="F17" s="7"/>
      <x:c r="G17" s="7"/>
      <x:c r="H17" s="7"/>
      <x:c r="I17" s="7"/>
      <x:c r="J17" s="17" t="str">
        <x:f>IF(A17="","",IF(OR(B17="",K17="",K17="Not supplied",L17="",NOT(ISNUMBER(G17))),"Not supplied",IF(I17="Amount",G17,IF(I17&lt;&gt;"Ratio","Select calculation",IF(NOT(ISNUMBER(H17)),"Not supplied",IF(H17=0,"n.a.",G17/H17))))))</x:f>
      </x:c>
      <x:c r="K17" s="7"/>
      <x:c r="L17" s="7"/>
      <x:c r="M17" s="7"/>
      <x:c r="N17" s="7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</x:row>
    <x:row r="18" ht="23" customHeight="1">
      <x:c r="A18" s="7"/>
      <x:c r="B18" s="7"/>
      <x:c r="C18" s="15"/>
      <x:c r="D18" s="15"/>
      <x:c r="E18" s="7"/>
      <x:c r="F18" s="7"/>
      <x:c r="G18" s="7"/>
      <x:c r="H18" s="7"/>
      <x:c r="I18" s="7"/>
      <x:c r="J18" s="17" t="str">
        <x:f>IF(A18="","",IF(OR(B18="",K18="",K18="Not supplied",L18="",NOT(ISNUMBER(G18))),"Not supplied",IF(I18="Amount",G18,IF(I18&lt;&gt;"Ratio","Select calculation",IF(NOT(ISNUMBER(H18)),"Not supplied",IF(H18=0,"n.a.",G18/H18))))))</x:f>
      </x:c>
      <x:c r="K18" s="7"/>
      <x:c r="L18" s="7"/>
      <x:c r="M18" s="7"/>
      <x:c r="N18" s="7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</x:row>
    <x:row r="19" ht="23" customHeight="1">
      <x:c r="A19" s="7"/>
      <x:c r="B19" s="7"/>
      <x:c r="C19" s="15"/>
      <x:c r="D19" s="15"/>
      <x:c r="E19" s="7"/>
      <x:c r="F19" s="7"/>
      <x:c r="G19" s="7"/>
      <x:c r="H19" s="7"/>
      <x:c r="I19" s="7"/>
      <x:c r="J19" s="17" t="str">
        <x:f>IF(A19="","",IF(OR(B19="",K19="",K19="Not supplied",L19="",NOT(ISNUMBER(G19))),"Not supplied",IF(I19="Amount",G19,IF(I19&lt;&gt;"Ratio","Select calculation",IF(NOT(ISNUMBER(H19)),"Not supplied",IF(H19=0,"n.a.",G19/H19))))))</x:f>
      </x:c>
      <x:c r="K19" s="7"/>
      <x:c r="L19" s="7"/>
      <x:c r="M19" s="7"/>
      <x:c r="N19" s="7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</x:row>
    <x:row r="20" ht="23" customHeight="1">
      <x:c r="A20" s="7"/>
      <x:c r="B20" s="7"/>
      <x:c r="C20" s="15"/>
      <x:c r="D20" s="15"/>
      <x:c r="E20" s="7"/>
      <x:c r="F20" s="7"/>
      <x:c r="G20" s="7"/>
      <x:c r="H20" s="7"/>
      <x:c r="I20" s="7"/>
      <x:c r="J20" s="17" t="str">
        <x:f>IF(A20="","",IF(OR(B20="",K20="",K20="Not supplied",L20="",NOT(ISNUMBER(G20))),"Not supplied",IF(I20="Amount",G20,IF(I20&lt;&gt;"Ratio","Select calculation",IF(NOT(ISNUMBER(H20)),"Not supplied",IF(H20=0,"n.a.",G20/H20))))))</x:f>
      </x:c>
      <x:c r="K20" s="7"/>
      <x:c r="L20" s="7"/>
      <x:c r="M20" s="7"/>
      <x:c r="N20" s="7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</x:row>
    <x:row r="21" ht="23" customHeight="1">
      <x:c r="A21" s="7"/>
      <x:c r="B21" s="7"/>
      <x:c r="C21" s="15"/>
      <x:c r="D21" s="15"/>
      <x:c r="E21" s="7"/>
      <x:c r="F21" s="7"/>
      <x:c r="G21" s="7"/>
      <x:c r="H21" s="7"/>
      <x:c r="I21" s="7"/>
      <x:c r="J21" s="17" t="str">
        <x:f>IF(A21="","",IF(OR(B21="",K21="",K21="Not supplied",L21="",NOT(ISNUMBER(G21))),"Not supplied",IF(I21="Amount",G21,IF(I21&lt;&gt;"Ratio","Select calculation",IF(NOT(ISNUMBER(H21)),"Not supplied",IF(H21=0,"n.a.",G21/H21))))))</x:f>
      </x:c>
      <x:c r="K21" s="7"/>
      <x:c r="L21" s="7"/>
      <x:c r="M21" s="7"/>
      <x:c r="N21" s="7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</x:row>
    <x:row r="22" ht="23" customHeight="1">
      <x:c r="A22" s="7"/>
      <x:c r="B22" s="7"/>
      <x:c r="C22" s="15"/>
      <x:c r="D22" s="15"/>
      <x:c r="E22" s="7"/>
      <x:c r="F22" s="7"/>
      <x:c r="G22" s="7"/>
      <x:c r="H22" s="7"/>
      <x:c r="I22" s="7"/>
      <x:c r="J22" s="17" t="str">
        <x:f>IF(A22="","",IF(OR(B22="",K22="",K22="Not supplied",L22="",NOT(ISNUMBER(G22))),"Not supplied",IF(I22="Amount",G22,IF(I22&lt;&gt;"Ratio","Select calculation",IF(NOT(ISNUMBER(H22)),"Not supplied",IF(H22=0,"n.a.",G22/H22))))))</x:f>
      </x:c>
      <x:c r="K22" s="7"/>
      <x:c r="L22" s="7"/>
      <x:c r="M22" s="7"/>
      <x:c r="N22" s="7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</x:row>
    <x:row r="23" ht="23" customHeight="1">
      <x:c r="A23" s="7"/>
      <x:c r="B23" s="7"/>
      <x:c r="C23" s="15"/>
      <x:c r="D23" s="15"/>
      <x:c r="E23" s="7"/>
      <x:c r="F23" s="7"/>
      <x:c r="G23" s="7"/>
      <x:c r="H23" s="7"/>
      <x:c r="I23" s="7"/>
      <x:c r="J23" s="17" t="str">
        <x:f>IF(A23="","",IF(OR(B23="",K23="",K23="Not supplied",L23="",NOT(ISNUMBER(G23))),"Not supplied",IF(I23="Amount",G23,IF(I23&lt;&gt;"Ratio","Select calculation",IF(NOT(ISNUMBER(H23)),"Not supplied",IF(H23=0,"n.a.",G23/H23))))))</x:f>
      </x:c>
      <x:c r="K23" s="7"/>
      <x:c r="L23" s="7"/>
      <x:c r="M23" s="7"/>
      <x:c r="N23" s="7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</x:row>
    <x:row r="24" ht="23" customHeight="1">
      <x:c r="A24" s="7"/>
      <x:c r="B24" s="7"/>
      <x:c r="C24" s="15"/>
      <x:c r="D24" s="15"/>
      <x:c r="E24" s="7"/>
      <x:c r="F24" s="7"/>
      <x:c r="G24" s="7"/>
      <x:c r="H24" s="7"/>
      <x:c r="I24" s="7"/>
      <x:c r="J24" s="17" t="str">
        <x:f>IF(A24="","",IF(OR(B24="",K24="",K24="Not supplied",L24="",NOT(ISNUMBER(G24))),"Not supplied",IF(I24="Amount",G24,IF(I24&lt;&gt;"Ratio","Select calculation",IF(NOT(ISNUMBER(H24)),"Not supplied",IF(H24=0,"n.a.",G24/H24))))))</x:f>
      </x:c>
      <x:c r="K24" s="7"/>
      <x:c r="L24" s="7"/>
      <x:c r="M24" s="7"/>
      <x:c r="N24" s="7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</x:row>
    <x:row r="25" ht="23" customHeight="1">
      <x:c r="A25" s="7"/>
      <x:c r="B25" s="7"/>
      <x:c r="C25" s="15"/>
      <x:c r="D25" s="15"/>
      <x:c r="E25" s="7"/>
      <x:c r="F25" s="7"/>
      <x:c r="G25" s="7"/>
      <x:c r="H25" s="7"/>
      <x:c r="I25" s="7"/>
      <x:c r="J25" s="17" t="str">
        <x:f>IF(A25="","",IF(OR(B25="",K25="",K25="Not supplied",L25="",NOT(ISNUMBER(G25))),"Not supplied",IF(I25="Amount",G25,IF(I25&lt;&gt;"Ratio","Select calculation",IF(NOT(ISNUMBER(H25)),"Not supplied",IF(H25=0,"n.a.",G25/H25))))))</x:f>
      </x:c>
      <x:c r="K25" s="7"/>
      <x:c r="L25" s="7"/>
      <x:c r="M25" s="7"/>
      <x:c r="N25" s="7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</x:row>
    <x:row r="26" ht="23" customHeight="1">
      <x:c r="A26" s="7"/>
      <x:c r="B26" s="7"/>
      <x:c r="C26" s="15"/>
      <x:c r="D26" s="15"/>
      <x:c r="E26" s="7"/>
      <x:c r="F26" s="7"/>
      <x:c r="G26" s="7"/>
      <x:c r="H26" s="7"/>
      <x:c r="I26" s="7"/>
      <x:c r="J26" s="17" t="str">
        <x:f>IF(A26="","",IF(OR(B26="",K26="",K26="Not supplied",L26="",NOT(ISNUMBER(G26))),"Not supplied",IF(I26="Amount",G26,IF(I26&lt;&gt;"Ratio","Select calculation",IF(NOT(ISNUMBER(H26)),"Not supplied",IF(H26=0,"n.a.",G26/H26))))))</x:f>
      </x:c>
      <x:c r="K26" s="7"/>
      <x:c r="L26" s="7"/>
      <x:c r="M26" s="7"/>
      <x:c r="N26" s="7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</x:row>
    <x:row r="27" ht="23" customHeight="1">
      <x:c r="A27" s="7"/>
      <x:c r="B27" s="7"/>
      <x:c r="C27" s="15"/>
      <x:c r="D27" s="15"/>
      <x:c r="E27" s="7"/>
      <x:c r="F27" s="7"/>
      <x:c r="G27" s="7"/>
      <x:c r="H27" s="7"/>
      <x:c r="I27" s="7"/>
      <x:c r="J27" s="17" t="str">
        <x:f>IF(A27="","",IF(OR(B27="",K27="",K27="Not supplied",L27="",NOT(ISNUMBER(G27))),"Not supplied",IF(I27="Amount",G27,IF(I27&lt;&gt;"Ratio","Select calculation",IF(NOT(ISNUMBER(H27)),"Not supplied",IF(H27=0,"n.a.",G27/H27))))))</x:f>
      </x:c>
      <x:c r="K27" s="7"/>
      <x:c r="L27" s="7"/>
      <x:c r="M27" s="7"/>
      <x:c r="N27" s="7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</x:row>
    <x:row r="28" ht="23" customHeight="1">
      <x:c r="A28" s="7"/>
      <x:c r="B28" s="7"/>
      <x:c r="C28" s="15"/>
      <x:c r="D28" s="15"/>
      <x:c r="E28" s="7"/>
      <x:c r="F28" s="7"/>
      <x:c r="G28" s="7"/>
      <x:c r="H28" s="7"/>
      <x:c r="I28" s="7"/>
      <x:c r="J28" s="17" t="str">
        <x:f>IF(A28="","",IF(OR(B28="",K28="",K28="Not supplied",L28="",NOT(ISNUMBER(G28))),"Not supplied",IF(I28="Amount",G28,IF(I28&lt;&gt;"Ratio","Select calculation",IF(NOT(ISNUMBER(H28)),"Not supplied",IF(H28=0,"n.a.",G28/H28))))))</x:f>
      </x:c>
      <x:c r="K28" s="7"/>
      <x:c r="L28" s="7"/>
      <x:c r="M28" s="7"/>
      <x:c r="N28" s="7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</x:row>
    <x:row r="29" ht="23" customHeight="1">
      <x:c r="A29" s="7"/>
      <x:c r="B29" s="7"/>
      <x:c r="C29" s="15"/>
      <x:c r="D29" s="15"/>
      <x:c r="E29" s="7"/>
      <x:c r="F29" s="7"/>
      <x:c r="G29" s="7"/>
      <x:c r="H29" s="7"/>
      <x:c r="I29" s="7"/>
      <x:c r="J29" s="17" t="str">
        <x:f>IF(A29="","",IF(OR(B29="",K29="",K29="Not supplied",L29="",NOT(ISNUMBER(G29))),"Not supplied",IF(I29="Amount",G29,IF(I29&lt;&gt;"Ratio","Select calculation",IF(NOT(ISNUMBER(H29)),"Not supplied",IF(H29=0,"n.a.",G29/H29))))))</x:f>
      </x:c>
      <x:c r="K29" s="7"/>
      <x:c r="L29" s="7"/>
      <x:c r="M29" s="7"/>
      <x:c r="N29" s="7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</x:row>
    <x:row r="30" ht="23" customHeight="1">
      <x:c r="A30" s="7"/>
      <x:c r="B30" s="7"/>
      <x:c r="C30" s="15"/>
      <x:c r="D30" s="15"/>
      <x:c r="E30" s="7"/>
      <x:c r="F30" s="7"/>
      <x:c r="G30" s="7"/>
      <x:c r="H30" s="7"/>
      <x:c r="I30" s="7"/>
      <x:c r="J30" s="17" t="str">
        <x:f>IF(A30="","",IF(OR(B30="",K30="",K30="Not supplied",L30="",NOT(ISNUMBER(G30))),"Not supplied",IF(I30="Amount",G30,IF(I30&lt;&gt;"Ratio","Select calculation",IF(NOT(ISNUMBER(H30)),"Not supplied",IF(H30=0,"n.a.",G30/H30))))))</x:f>
      </x:c>
      <x:c r="K30" s="7"/>
      <x:c r="L30" s="7"/>
      <x:c r="M30" s="7"/>
      <x:c r="N30" s="7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</x:row>
    <x:row r="31" ht="23" customHeight="1">
      <x:c r="A31" s="7"/>
      <x:c r="B31" s="7"/>
      <x:c r="C31" s="15"/>
      <x:c r="D31" s="15"/>
      <x:c r="E31" s="7"/>
      <x:c r="F31" s="7"/>
      <x:c r="G31" s="7"/>
      <x:c r="H31" s="7"/>
      <x:c r="I31" s="7"/>
      <x:c r="J31" s="17" t="str">
        <x:f>IF(A31="","",IF(OR(B31="",K31="",K31="Not supplied",L31="",NOT(ISNUMBER(G31))),"Not supplied",IF(I31="Amount",G31,IF(I31&lt;&gt;"Ratio","Select calculation",IF(NOT(ISNUMBER(H31)),"Not supplied",IF(H31=0,"n.a.",G31/H31))))))</x:f>
      </x:c>
      <x:c r="K31" s="7"/>
      <x:c r="L31" s="7"/>
      <x:c r="M31" s="7"/>
      <x:c r="N31" s="7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</x:row>
    <x:row r="32" ht="23" customHeight="1">
      <x:c r="A32" s="7"/>
      <x:c r="B32" s="7"/>
      <x:c r="C32" s="15"/>
      <x:c r="D32" s="15"/>
      <x:c r="E32" s="7"/>
      <x:c r="F32" s="7"/>
      <x:c r="G32" s="7"/>
      <x:c r="H32" s="7"/>
      <x:c r="I32" s="7"/>
      <x:c r="J32" s="17" t="str">
        <x:f>IF(A32="","",IF(OR(B32="",K32="",K32="Not supplied",L32="",NOT(ISNUMBER(G32))),"Not supplied",IF(I32="Amount",G32,IF(I32&lt;&gt;"Ratio","Select calculation",IF(NOT(ISNUMBER(H32)),"Not supplied",IF(H32=0,"n.a.",G32/H32))))))</x:f>
      </x:c>
      <x:c r="K32" s="7"/>
      <x:c r="L32" s="7"/>
      <x:c r="M32" s="7"/>
      <x:c r="N32" s="7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</x:row>
    <x:row r="33" ht="23" customHeight="1">
      <x:c r="A33" s="7"/>
      <x:c r="B33" s="7"/>
      <x:c r="C33" s="15"/>
      <x:c r="D33" s="15"/>
      <x:c r="E33" s="7"/>
      <x:c r="F33" s="7"/>
      <x:c r="G33" s="7"/>
      <x:c r="H33" s="7"/>
      <x:c r="I33" s="7"/>
      <x:c r="J33" s="17" t="str">
        <x:f>IF(A33="","",IF(OR(B33="",K33="",K33="Not supplied",L33="",NOT(ISNUMBER(G33))),"Not supplied",IF(I33="Amount",G33,IF(I33&lt;&gt;"Ratio","Select calculation",IF(NOT(ISNUMBER(H33)),"Not supplied",IF(H33=0,"n.a.",G33/H33))))))</x:f>
      </x:c>
      <x:c r="K33" s="7"/>
      <x:c r="L33" s="7"/>
      <x:c r="M33" s="7"/>
      <x:c r="N33" s="7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</x:row>
    <x:row r="34" ht="23" customHeight="1">
      <x:c r="A34" s="7"/>
      <x:c r="B34" s="7"/>
      <x:c r="C34" s="15"/>
      <x:c r="D34" s="15"/>
      <x:c r="E34" s="7"/>
      <x:c r="F34" s="7"/>
      <x:c r="G34" s="7"/>
      <x:c r="H34" s="7"/>
      <x:c r="I34" s="7"/>
      <x:c r="J34" s="17" t="str">
        <x:f>IF(A34="","",IF(OR(B34="",K34="",K34="Not supplied",L34="",NOT(ISNUMBER(G34))),"Not supplied",IF(I34="Amount",G34,IF(I34&lt;&gt;"Ratio","Select calculation",IF(NOT(ISNUMBER(H34)),"Not supplied",IF(H34=0,"n.a.",G34/H34))))))</x:f>
      </x:c>
      <x:c r="K34" s="7"/>
      <x:c r="L34" s="7"/>
      <x:c r="M34" s="7"/>
      <x:c r="N34" s="7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</x:row>
    <x:row r="35" ht="23" customHeight="1">
      <x:c r="A35" s="7"/>
      <x:c r="B35" s="7"/>
      <x:c r="C35" s="15"/>
      <x:c r="D35" s="15"/>
      <x:c r="E35" s="7"/>
      <x:c r="F35" s="7"/>
      <x:c r="G35" s="7"/>
      <x:c r="H35" s="7"/>
      <x:c r="I35" s="7"/>
      <x:c r="J35" s="17" t="str">
        <x:f>IF(A35="","",IF(OR(B35="",K35="",K35="Not supplied",L35="",NOT(ISNUMBER(G35))),"Not supplied",IF(I35="Amount",G35,IF(I35&lt;&gt;"Ratio","Select calculation",IF(NOT(ISNUMBER(H35)),"Not supplied",IF(H35=0,"n.a.",G35/H35))))))</x:f>
      </x:c>
      <x:c r="K35" s="7"/>
      <x:c r="L35" s="7"/>
      <x:c r="M35" s="7"/>
      <x:c r="N35" s="7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</x:row>
    <x:row r="36" ht="23" customHeight="1">
      <x:c r="A36" s="7"/>
      <x:c r="B36" s="7"/>
      <x:c r="C36" s="15"/>
      <x:c r="D36" s="15"/>
      <x:c r="E36" s="7"/>
      <x:c r="F36" s="7"/>
      <x:c r="G36" s="7"/>
      <x:c r="H36" s="7"/>
      <x:c r="I36" s="7"/>
      <x:c r="J36" s="17" t="str">
        <x:f>IF(A36="","",IF(OR(B36="",K36="",K36="Not supplied",L36="",NOT(ISNUMBER(G36))),"Not supplied",IF(I36="Amount",G36,IF(I36&lt;&gt;"Ratio","Select calculation",IF(NOT(ISNUMBER(H36)),"Not supplied",IF(H36=0,"n.a.",G36/H36))))))</x:f>
      </x:c>
      <x:c r="K36" s="7"/>
      <x:c r="L36" s="7"/>
      <x:c r="M36" s="7"/>
      <x:c r="N36" s="7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</x:row>
    <x:row r="37" ht="23" customHeight="1">
      <x:c r="A37" s="7"/>
      <x:c r="B37" s="7"/>
      <x:c r="C37" s="15"/>
      <x:c r="D37" s="15"/>
      <x:c r="E37" s="7"/>
      <x:c r="F37" s="7"/>
      <x:c r="G37" s="7"/>
      <x:c r="H37" s="7"/>
      <x:c r="I37" s="7"/>
      <x:c r="J37" s="17" t="str">
        <x:f>IF(A37="","",IF(OR(B37="",K37="",K37="Not supplied",L37="",NOT(ISNUMBER(G37))),"Not supplied",IF(I37="Amount",G37,IF(I37&lt;&gt;"Ratio","Select calculation",IF(NOT(ISNUMBER(H37)),"Not supplied",IF(H37=0,"n.a.",G37/H37))))))</x:f>
      </x:c>
      <x:c r="K37" s="7"/>
      <x:c r="L37" s="7"/>
      <x:c r="M37" s="7"/>
      <x:c r="N37" s="7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</x:row>
    <x:row r="38" ht="23" customHeight="1">
      <x:c r="A38" s="7"/>
      <x:c r="B38" s="7"/>
      <x:c r="C38" s="15"/>
      <x:c r="D38" s="15"/>
      <x:c r="E38" s="7"/>
      <x:c r="F38" s="7"/>
      <x:c r="G38" s="7"/>
      <x:c r="H38" s="7"/>
      <x:c r="I38" s="7"/>
      <x:c r="J38" s="17" t="str">
        <x:f>IF(A38="","",IF(OR(B38="",K38="",K38="Not supplied",L38="",NOT(ISNUMBER(G38))),"Not supplied",IF(I38="Amount",G38,IF(I38&lt;&gt;"Ratio","Select calculation",IF(NOT(ISNUMBER(H38)),"Not supplied",IF(H38=0,"n.a.",G38/H38))))))</x:f>
      </x:c>
      <x:c r="K38" s="7"/>
      <x:c r="L38" s="7"/>
      <x:c r="M38" s="7"/>
      <x:c r="N38" s="7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</x:row>
    <x:row r="39" ht="23" customHeight="1">
      <x:c r="A39" s="7"/>
      <x:c r="B39" s="7"/>
      <x:c r="C39" s="15"/>
      <x:c r="D39" s="15"/>
      <x:c r="E39" s="7"/>
      <x:c r="F39" s="7"/>
      <x:c r="G39" s="7"/>
      <x:c r="H39" s="7"/>
      <x:c r="I39" s="7"/>
      <x:c r="J39" s="17" t="str">
        <x:f>IF(A39="","",IF(OR(B39="",K39="",K39="Not supplied",L39="",NOT(ISNUMBER(G39))),"Not supplied",IF(I39="Amount",G39,IF(I39&lt;&gt;"Ratio","Select calculation",IF(NOT(ISNUMBER(H39)),"Not supplied",IF(H39=0,"n.a.",G39/H39))))))</x:f>
      </x:c>
      <x:c r="K39" s="7"/>
      <x:c r="L39" s="7"/>
      <x:c r="M39" s="7"/>
      <x:c r="N39" s="7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</x:row>
    <x:row r="40" ht="23" customHeight="1">
      <x:c r="A40" s="7"/>
      <x:c r="B40" s="7"/>
      <x:c r="C40" s="15"/>
      <x:c r="D40" s="15"/>
      <x:c r="E40" s="7"/>
      <x:c r="F40" s="7"/>
      <x:c r="G40" s="7"/>
      <x:c r="H40" s="7"/>
      <x:c r="I40" s="7"/>
      <x:c r="J40" s="17" t="str">
        <x:f>IF(A40="","",IF(OR(B40="",K40="",K40="Not supplied",L40="",NOT(ISNUMBER(G40))),"Not supplied",IF(I40="Amount",G40,IF(I40&lt;&gt;"Ratio","Select calculation",IF(NOT(ISNUMBER(H40)),"Not supplied",IF(H40=0,"n.a.",G40/H40))))))</x:f>
      </x:c>
      <x:c r="K40" s="7"/>
      <x:c r="L40" s="7"/>
      <x:c r="M40" s="7"/>
      <x:c r="N40" s="7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</x:row>
    <x:row r="41" ht="23" customHeight="1">
      <x:c r="A41" s="7"/>
      <x:c r="B41" s="7"/>
      <x:c r="C41" s="15"/>
      <x:c r="D41" s="15"/>
      <x:c r="E41" s="7"/>
      <x:c r="F41" s="7"/>
      <x:c r="G41" s="7"/>
      <x:c r="H41" s="7"/>
      <x:c r="I41" s="7"/>
      <x:c r="J41" s="17" t="str">
        <x:f>IF(A41="","",IF(OR(B41="",K41="",K41="Not supplied",L41="",NOT(ISNUMBER(G41))),"Not supplied",IF(I41="Amount",G41,IF(I41&lt;&gt;"Ratio","Select calculation",IF(NOT(ISNUMBER(H41)),"Not supplied",IF(H41=0,"n.a.",G41/H41))))))</x:f>
      </x:c>
      <x:c r="K41" s="7"/>
      <x:c r="L41" s="7"/>
      <x:c r="M41" s="7"/>
      <x:c r="N41" s="7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</x:row>
    <x:row r="42" ht="23" customHeight="1">
      <x:c r="A42" s="7"/>
      <x:c r="B42" s="7"/>
      <x:c r="C42" s="15"/>
      <x:c r="D42" s="15"/>
      <x:c r="E42" s="7"/>
      <x:c r="F42" s="7"/>
      <x:c r="G42" s="7"/>
      <x:c r="H42" s="7"/>
      <x:c r="I42" s="7"/>
      <x:c r="J42" s="17" t="str">
        <x:f>IF(A42="","",IF(OR(B42="",K42="",K42="Not supplied",L42="",NOT(ISNUMBER(G42))),"Not supplied",IF(I42="Amount",G42,IF(I42&lt;&gt;"Ratio","Select calculation",IF(NOT(ISNUMBER(H42)),"Not supplied",IF(H42=0,"n.a.",G42/H42))))))</x:f>
      </x:c>
      <x:c r="K42" s="7"/>
      <x:c r="L42" s="7"/>
      <x:c r="M42" s="7"/>
      <x:c r="N42" s="7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</x:row>
    <x:row r="43" ht="23" customHeight="1">
      <x:c r="A43" s="7"/>
      <x:c r="B43" s="7"/>
      <x:c r="C43" s="15"/>
      <x:c r="D43" s="15"/>
      <x:c r="E43" s="7"/>
      <x:c r="F43" s="7"/>
      <x:c r="G43" s="7"/>
      <x:c r="H43" s="7"/>
      <x:c r="I43" s="7"/>
      <x:c r="J43" s="17" t="str">
        <x:f>IF(A43="","",IF(OR(B43="",K43="",K43="Not supplied",L43="",NOT(ISNUMBER(G43))),"Not supplied",IF(I43="Amount",G43,IF(I43&lt;&gt;"Ratio","Select calculation",IF(NOT(ISNUMBER(H43)),"Not supplied",IF(H43=0,"n.a.",G43/H43))))))</x:f>
      </x:c>
      <x:c r="K43" s="7"/>
      <x:c r="L43" s="7"/>
      <x:c r="M43" s="7"/>
      <x:c r="N43" s="7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</x:row>
    <x:row r="44" ht="23" customHeight="1">
      <x:c r="A44" s="7"/>
      <x:c r="B44" s="7"/>
      <x:c r="C44" s="15"/>
      <x:c r="D44" s="15"/>
      <x:c r="E44" s="7"/>
      <x:c r="F44" s="7"/>
      <x:c r="G44" s="7"/>
      <x:c r="H44" s="7"/>
      <x:c r="I44" s="7"/>
      <x:c r="J44" s="17" t="str">
        <x:f>IF(A44="","",IF(OR(B44="",K44="",K44="Not supplied",L44="",NOT(ISNUMBER(G44))),"Not supplied",IF(I44="Amount",G44,IF(I44&lt;&gt;"Ratio","Select calculation",IF(NOT(ISNUMBER(H44)),"Not supplied",IF(H44=0,"n.a.",G44/H44))))))</x:f>
      </x:c>
      <x:c r="K44" s="7"/>
      <x:c r="L44" s="7"/>
      <x:c r="M44" s="7"/>
      <x:c r="N44" s="7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</x:row>
    <x:row r="45" ht="23" customHeight="1">
      <x:c r="A45" s="7"/>
      <x:c r="B45" s="7"/>
      <x:c r="C45" s="15"/>
      <x:c r="D45" s="15"/>
      <x:c r="E45" s="7"/>
      <x:c r="F45" s="7"/>
      <x:c r="G45" s="7"/>
      <x:c r="H45" s="7"/>
      <x:c r="I45" s="7"/>
      <x:c r="J45" s="17" t="str">
        <x:f>IF(A45="","",IF(OR(B45="",K45="",K45="Not supplied",L45="",NOT(ISNUMBER(G45))),"Not supplied",IF(I45="Amount",G45,IF(I45&lt;&gt;"Ratio","Select calculation",IF(NOT(ISNUMBER(H45)),"Not supplied",IF(H45=0,"n.a.",G45/H45))))))</x:f>
      </x:c>
      <x:c r="K45" s="7"/>
      <x:c r="L45" s="7"/>
      <x:c r="M45" s="7"/>
      <x:c r="N45" s="7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</x:row>
    <x:row r="46" ht="23" customHeight="1">
      <x:c r="A46" s="7"/>
      <x:c r="B46" s="7"/>
      <x:c r="C46" s="15"/>
      <x:c r="D46" s="15"/>
      <x:c r="E46" s="7"/>
      <x:c r="F46" s="7"/>
      <x:c r="G46" s="7"/>
      <x:c r="H46" s="7"/>
      <x:c r="I46" s="7"/>
      <x:c r="J46" s="17" t="str">
        <x:f>IF(A46="","",IF(OR(B46="",K46="",K46="Not supplied",L46="",NOT(ISNUMBER(G46))),"Not supplied",IF(I46="Amount",G46,IF(I46&lt;&gt;"Ratio","Select calculation",IF(NOT(ISNUMBER(H46)),"Not supplied",IF(H46=0,"n.a.",G46/H46))))))</x:f>
      </x:c>
      <x:c r="K46" s="7"/>
      <x:c r="L46" s="7"/>
      <x:c r="M46" s="7"/>
      <x:c r="N46" s="7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</x:row>
    <x:row r="47" ht="23" customHeight="1">
      <x:c r="A47" s="7"/>
      <x:c r="B47" s="7"/>
      <x:c r="C47" s="15"/>
      <x:c r="D47" s="15"/>
      <x:c r="E47" s="7"/>
      <x:c r="F47" s="7"/>
      <x:c r="G47" s="7"/>
      <x:c r="H47" s="7"/>
      <x:c r="I47" s="7"/>
      <x:c r="J47" s="17" t="str">
        <x:f>IF(A47="","",IF(OR(B47="",K47="",K47="Not supplied",L47="",NOT(ISNUMBER(G47))),"Not supplied",IF(I47="Amount",G47,IF(I47&lt;&gt;"Ratio","Select calculation",IF(NOT(ISNUMBER(H47)),"Not supplied",IF(H47=0,"n.a.",G47/H47))))))</x:f>
      </x:c>
      <x:c r="K47" s="7"/>
      <x:c r="L47" s="7"/>
      <x:c r="M47" s="7"/>
      <x:c r="N47" s="7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</x:row>
    <x:row r="48" ht="23" customHeight="1">
      <x:c r="A48" s="7"/>
      <x:c r="B48" s="7"/>
      <x:c r="C48" s="15"/>
      <x:c r="D48" s="15"/>
      <x:c r="E48" s="7"/>
      <x:c r="F48" s="7"/>
      <x:c r="G48" s="7"/>
      <x:c r="H48" s="7"/>
      <x:c r="I48" s="7"/>
      <x:c r="J48" s="17" t="str">
        <x:f>IF(A48="","",IF(OR(B48="",K48="",K48="Not supplied",L48="",NOT(ISNUMBER(G48))),"Not supplied",IF(I48="Amount",G48,IF(I48&lt;&gt;"Ratio","Select calculation",IF(NOT(ISNUMBER(H48)),"Not supplied",IF(H48=0,"n.a.",G48/H48))))))</x:f>
      </x:c>
      <x:c r="K48" s="7"/>
      <x:c r="L48" s="7"/>
      <x:c r="M48" s="7"/>
      <x:c r="N48" s="7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</x:row>
    <x:row r="49" ht="23" customHeight="1">
      <x:c r="A49" s="7"/>
      <x:c r="B49" s="7"/>
      <x:c r="C49" s="15"/>
      <x:c r="D49" s="15"/>
      <x:c r="E49" s="7"/>
      <x:c r="F49" s="7"/>
      <x:c r="G49" s="7"/>
      <x:c r="H49" s="7"/>
      <x:c r="I49" s="7"/>
      <x:c r="J49" s="17" t="str">
        <x:f>IF(A49="","",IF(OR(B49="",K49="",K49="Not supplied",L49="",NOT(ISNUMBER(G49))),"Not supplied",IF(I49="Amount",G49,IF(I49&lt;&gt;"Ratio","Select calculation",IF(NOT(ISNUMBER(H49)),"Not supplied",IF(H49=0,"n.a.",G49/H49))))))</x:f>
      </x:c>
      <x:c r="K49" s="7"/>
      <x:c r="L49" s="7"/>
      <x:c r="M49" s="7"/>
      <x:c r="N49" s="7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</x:row>
    <x:row r="50" ht="23" customHeight="1">
      <x:c r="A50" s="7"/>
      <x:c r="B50" s="7"/>
      <x:c r="C50" s="15"/>
      <x:c r="D50" s="15"/>
      <x:c r="E50" s="7"/>
      <x:c r="F50" s="7"/>
      <x:c r="G50" s="7"/>
      <x:c r="H50" s="7"/>
      <x:c r="I50" s="7"/>
      <x:c r="J50" s="17" t="str">
        <x:f>IF(A50="","",IF(OR(B50="",K50="",K50="Not supplied",L50="",NOT(ISNUMBER(G50))),"Not supplied",IF(I50="Amount",G50,IF(I50&lt;&gt;"Ratio","Select calculation",IF(NOT(ISNUMBER(H50)),"Not supplied",IF(H50=0,"n.a.",G50/H50))))))</x:f>
      </x:c>
      <x:c r="K50" s="7"/>
      <x:c r="L50" s="7"/>
      <x:c r="M50" s="7"/>
      <x:c r="N50" s="7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</x:row>
    <x:row r="51" ht="23" customHeight="1">
      <x:c r="A51" s="7"/>
      <x:c r="B51" s="7"/>
      <x:c r="C51" s="15"/>
      <x:c r="D51" s="15"/>
      <x:c r="E51" s="7"/>
      <x:c r="F51" s="7"/>
      <x:c r="G51" s="7"/>
      <x:c r="H51" s="7"/>
      <x:c r="I51" s="7"/>
      <x:c r="J51" s="17" t="str">
        <x:f>IF(A51="","",IF(OR(B51="",K51="",K51="Not supplied",L51="",NOT(ISNUMBER(G51))),"Not supplied",IF(I51="Amount",G51,IF(I51&lt;&gt;"Ratio","Select calculation",IF(NOT(ISNUMBER(H51)),"Not supplied",IF(H51=0,"n.a.",G51/H51))))))</x:f>
      </x:c>
      <x:c r="K51" s="7"/>
      <x:c r="L51" s="7"/>
      <x:c r="M51" s="7"/>
      <x:c r="N51" s="7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</x:row>
    <x:row r="52" ht="23" customHeight="1">
      <x:c r="A52" s="7"/>
      <x:c r="B52" s="7"/>
      <x:c r="C52" s="15"/>
      <x:c r="D52" s="15"/>
      <x:c r="E52" s="7"/>
      <x:c r="F52" s="7"/>
      <x:c r="G52" s="7"/>
      <x:c r="H52" s="7"/>
      <x:c r="I52" s="7"/>
      <x:c r="J52" s="17" t="str">
        <x:f>IF(A52="","",IF(OR(B52="",K52="",K52="Not supplied",L52="",NOT(ISNUMBER(G52))),"Not supplied",IF(I52="Amount",G52,IF(I52&lt;&gt;"Ratio","Select calculation",IF(NOT(ISNUMBER(H52)),"Not supplied",IF(H52=0,"n.a.",G52/H52))))))</x:f>
      </x:c>
      <x:c r="K52" s="7"/>
      <x:c r="L52" s="7"/>
      <x:c r="M52" s="7"/>
      <x:c r="N52" s="7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</x:row>
    <x:row r="53" ht="23" customHeight="1">
      <x:c r="A53" s="7"/>
      <x:c r="B53" s="7"/>
      <x:c r="C53" s="15"/>
      <x:c r="D53" s="15"/>
      <x:c r="E53" s="7"/>
      <x:c r="F53" s="7"/>
      <x:c r="G53" s="7"/>
      <x:c r="H53" s="7"/>
      <x:c r="I53" s="7"/>
      <x:c r="J53" s="17" t="str">
        <x:f>IF(A53="","",IF(OR(B53="",K53="",K53="Not supplied",L53="",NOT(ISNUMBER(G53))),"Not supplied",IF(I53="Amount",G53,IF(I53&lt;&gt;"Ratio","Select calculation",IF(NOT(ISNUMBER(H53)),"Not supplied",IF(H53=0,"n.a.",G53/H53))))))</x:f>
      </x:c>
      <x:c r="K53" s="7"/>
      <x:c r="L53" s="7"/>
      <x:c r="M53" s="7"/>
      <x:c r="N53" s="7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</x:row>
    <x:row r="54" ht="23" customHeight="1">
      <x:c r="A54" s="7"/>
      <x:c r="B54" s="7"/>
      <x:c r="C54" s="15"/>
      <x:c r="D54" s="15"/>
      <x:c r="E54" s="7"/>
      <x:c r="F54" s="7"/>
      <x:c r="G54" s="7"/>
      <x:c r="H54" s="7"/>
      <x:c r="I54" s="7"/>
      <x:c r="J54" s="17" t="str">
        <x:f>IF(A54="","",IF(OR(B54="",K54="",K54="Not supplied",L54="",NOT(ISNUMBER(G54))),"Not supplied",IF(I54="Amount",G54,IF(I54&lt;&gt;"Ratio","Select calculation",IF(NOT(ISNUMBER(H54)),"Not supplied",IF(H54=0,"n.a.",G54/H54))))))</x:f>
      </x:c>
      <x:c r="K54" s="7"/>
      <x:c r="L54" s="7"/>
      <x:c r="M54" s="7"/>
      <x:c r="N54" s="7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</x:row>
    <x:row r="55" ht="23" customHeight="1">
      <x:c r="A55" s="7"/>
      <x:c r="B55" s="7"/>
      <x:c r="C55" s="15"/>
      <x:c r="D55" s="15"/>
      <x:c r="E55" s="7"/>
      <x:c r="F55" s="7"/>
      <x:c r="G55" s="7"/>
      <x:c r="H55" s="7"/>
      <x:c r="I55" s="7"/>
      <x:c r="J55" s="17" t="str">
        <x:f>IF(A55="","",IF(OR(B55="",K55="",K55="Not supplied",L55="",NOT(ISNUMBER(G55))),"Not supplied",IF(I55="Amount",G55,IF(I55&lt;&gt;"Ratio","Select calculation",IF(NOT(ISNUMBER(H55)),"Not supplied",IF(H55=0,"n.a.",G55/H55))))))</x:f>
      </x:c>
      <x:c r="K55" s="7"/>
      <x:c r="L55" s="7"/>
      <x:c r="M55" s="7"/>
      <x:c r="N55" s="7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</x:row>
    <x:row r="56" ht="23" customHeight="1">
      <x:c r="A56" s="7"/>
      <x:c r="B56" s="7"/>
      <x:c r="C56" s="15"/>
      <x:c r="D56" s="15"/>
      <x:c r="E56" s="7"/>
      <x:c r="F56" s="7"/>
      <x:c r="G56" s="7"/>
      <x:c r="H56" s="7"/>
      <x:c r="I56" s="7"/>
      <x:c r="J56" s="17" t="str">
        <x:f>IF(A56="","",IF(OR(B56="",K56="",K56="Not supplied",L56="",NOT(ISNUMBER(G56))),"Not supplied",IF(I56="Amount",G56,IF(I56&lt;&gt;"Ratio","Select calculation",IF(NOT(ISNUMBER(H56)),"Not supplied",IF(H56=0,"n.a.",G56/H56))))))</x:f>
      </x:c>
      <x:c r="K56" s="7"/>
      <x:c r="L56" s="7"/>
      <x:c r="M56" s="7"/>
      <x:c r="N56" s="7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</x:row>
    <x:row r="57" ht="23" customHeight="1">
      <x:c r="A57" s="7"/>
      <x:c r="B57" s="7"/>
      <x:c r="C57" s="15"/>
      <x:c r="D57" s="15"/>
      <x:c r="E57" s="7"/>
      <x:c r="F57" s="7"/>
      <x:c r="G57" s="7"/>
      <x:c r="H57" s="7"/>
      <x:c r="I57" s="7"/>
      <x:c r="J57" s="17" t="str">
        <x:f>IF(A57="","",IF(OR(B57="",K57="",K57="Not supplied",L57="",NOT(ISNUMBER(G57))),"Not supplied",IF(I57="Amount",G57,IF(I57&lt;&gt;"Ratio","Select calculation",IF(NOT(ISNUMBER(H57)),"Not supplied",IF(H57=0,"n.a.",G57/H57))))))</x:f>
      </x:c>
      <x:c r="K57" s="7"/>
      <x:c r="L57" s="7"/>
      <x:c r="M57" s="7"/>
      <x:c r="N57" s="7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</x:row>
    <x:row r="58" ht="23" customHeight="1">
      <x:c r="A58" s="7"/>
      <x:c r="B58" s="7"/>
      <x:c r="C58" s="15"/>
      <x:c r="D58" s="15"/>
      <x:c r="E58" s="7"/>
      <x:c r="F58" s="7"/>
      <x:c r="G58" s="7"/>
      <x:c r="H58" s="7"/>
      <x:c r="I58" s="7"/>
      <x:c r="J58" s="17" t="str">
        <x:f>IF(A58="","",IF(OR(B58="",K58="",K58="Not supplied",L58="",NOT(ISNUMBER(G58))),"Not supplied",IF(I58="Amount",G58,IF(I58&lt;&gt;"Ratio","Select calculation",IF(NOT(ISNUMBER(H58)),"Not supplied",IF(H58=0,"n.a.",G58/H58))))))</x:f>
      </x:c>
      <x:c r="K58" s="7"/>
      <x:c r="L58" s="7"/>
      <x:c r="M58" s="7"/>
      <x:c r="N58" s="7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</x:row>
    <x:row r="59" ht="23" customHeight="1">
      <x:c r="A59" s="7"/>
      <x:c r="B59" s="7"/>
      <x:c r="C59" s="15"/>
      <x:c r="D59" s="15"/>
      <x:c r="E59" s="7"/>
      <x:c r="F59" s="7"/>
      <x:c r="G59" s="7"/>
      <x:c r="H59" s="7"/>
      <x:c r="I59" s="7"/>
      <x:c r="J59" s="17" t="str">
        <x:f>IF(A59="","",IF(OR(B59="",K59="",K59="Not supplied",L59="",NOT(ISNUMBER(G59))),"Not supplied",IF(I59="Amount",G59,IF(I59&lt;&gt;"Ratio","Select calculation",IF(NOT(ISNUMBER(H59)),"Not supplied",IF(H59=0,"n.a.",G59/H59))))))</x:f>
      </x:c>
      <x:c r="K59" s="7"/>
      <x:c r="L59" s="7"/>
      <x:c r="M59" s="7"/>
      <x:c r="N59" s="7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</x:row>
    <x:row r="60" ht="23" customHeight="1">
      <x:c r="A60" s="7"/>
      <x:c r="B60" s="7"/>
      <x:c r="C60" s="15"/>
      <x:c r="D60" s="15"/>
      <x:c r="E60" s="7"/>
      <x:c r="F60" s="7"/>
      <x:c r="G60" s="7"/>
      <x:c r="H60" s="7"/>
      <x:c r="I60" s="7"/>
      <x:c r="J60" s="17" t="str">
        <x:f>IF(A60="","",IF(OR(B60="",K60="",K60="Not supplied",L60="",NOT(ISNUMBER(G60))),"Not supplied",IF(I60="Amount",G60,IF(I60&lt;&gt;"Ratio","Select calculation",IF(NOT(ISNUMBER(H60)),"Not supplied",IF(H60=0,"n.a.",G60/H60))))))</x:f>
      </x:c>
      <x:c r="K60" s="7"/>
      <x:c r="L60" s="7"/>
      <x:c r="M60" s="7"/>
      <x:c r="N60" s="7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</x:row>
    <x:row r="61" ht="23" customHeight="1">
      <x:c r="A61" s="7"/>
      <x:c r="B61" s="7"/>
      <x:c r="C61" s="15"/>
      <x:c r="D61" s="15"/>
      <x:c r="E61" s="7"/>
      <x:c r="F61" s="7"/>
      <x:c r="G61" s="7"/>
      <x:c r="H61" s="7"/>
      <x:c r="I61" s="7"/>
      <x:c r="J61" s="17" t="str">
        <x:f>IF(A61="","",IF(OR(B61="",K61="",K61="Not supplied",L61="",NOT(ISNUMBER(G61))),"Not supplied",IF(I61="Amount",G61,IF(I61&lt;&gt;"Ratio","Select calculation",IF(NOT(ISNUMBER(H61)),"Not supplied",IF(H61=0,"n.a.",G61/H61))))))</x:f>
      </x:c>
      <x:c r="K61" s="7"/>
      <x:c r="L61" s="7"/>
      <x:c r="M61" s="7"/>
      <x:c r="N61" s="7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</x:row>
    <x:row r="62" ht="23" customHeight="1">
      <x:c r="A62" s="7"/>
      <x:c r="B62" s="7"/>
      <x:c r="C62" s="15"/>
      <x:c r="D62" s="15"/>
      <x:c r="E62" s="7"/>
      <x:c r="F62" s="7"/>
      <x:c r="G62" s="7"/>
      <x:c r="H62" s="7"/>
      <x:c r="I62" s="7"/>
      <x:c r="J62" s="17" t="str">
        <x:f>IF(A62="","",IF(OR(B62="",K62="",K62="Not supplied",L62="",NOT(ISNUMBER(G62))),"Not supplied",IF(I62="Amount",G62,IF(I62&lt;&gt;"Ratio","Select calculation",IF(NOT(ISNUMBER(H62)),"Not supplied",IF(H62=0,"n.a.",G62/H62))))))</x:f>
      </x:c>
      <x:c r="K62" s="7"/>
      <x:c r="L62" s="7"/>
      <x:c r="M62" s="7"/>
      <x:c r="N62" s="7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</x:row>
    <x:row r="63" ht="23" customHeight="1">
      <x:c r="A63" s="7"/>
      <x:c r="B63" s="7"/>
      <x:c r="C63" s="15"/>
      <x:c r="D63" s="15"/>
      <x:c r="E63" s="7"/>
      <x:c r="F63" s="7"/>
      <x:c r="G63" s="7"/>
      <x:c r="H63" s="7"/>
      <x:c r="I63" s="7"/>
      <x:c r="J63" s="17" t="str">
        <x:f>IF(A63="","",IF(OR(B63="",K63="",K63="Not supplied",L63="",NOT(ISNUMBER(G63))),"Not supplied",IF(I63="Amount",G63,IF(I63&lt;&gt;"Ratio","Select calculation",IF(NOT(ISNUMBER(H63)),"Not supplied",IF(H63=0,"n.a.",G63/H63))))))</x:f>
      </x:c>
      <x:c r="K63" s="7"/>
      <x:c r="L63" s="7"/>
      <x:c r="M63" s="7"/>
      <x:c r="N63" s="7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</x:row>
    <x:row r="64" ht="23" customHeight="1">
      <x:c r="A64" s="7"/>
      <x:c r="B64" s="7"/>
      <x:c r="C64" s="15"/>
      <x:c r="D64" s="15"/>
      <x:c r="E64" s="7"/>
      <x:c r="F64" s="7"/>
      <x:c r="G64" s="7"/>
      <x:c r="H64" s="7"/>
      <x:c r="I64" s="7"/>
      <x:c r="J64" s="17" t="str">
        <x:f>IF(A64="","",IF(OR(B64="",K64="",K64="Not supplied",L64="",NOT(ISNUMBER(G64))),"Not supplied",IF(I64="Amount",G64,IF(I64&lt;&gt;"Ratio","Select calculation",IF(NOT(ISNUMBER(H64)),"Not supplied",IF(H64=0,"n.a.",G64/H64))))))</x:f>
      </x:c>
      <x:c r="K64" s="7"/>
      <x:c r="L64" s="7"/>
      <x:c r="M64" s="7"/>
      <x:c r="N64" s="7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</x:row>
    <x:row r="65" ht="23" customHeight="1">
      <x:c r="A65" s="7"/>
      <x:c r="B65" s="7"/>
      <x:c r="C65" s="15"/>
      <x:c r="D65" s="15"/>
      <x:c r="E65" s="7"/>
      <x:c r="F65" s="7"/>
      <x:c r="G65" s="7"/>
      <x:c r="H65" s="7"/>
      <x:c r="I65" s="7"/>
      <x:c r="J65" s="17" t="str">
        <x:f>IF(A65="","",IF(OR(B65="",K65="",K65="Not supplied",L65="",NOT(ISNUMBER(G65))),"Not supplied",IF(I65="Amount",G65,IF(I65&lt;&gt;"Ratio","Select calculation",IF(NOT(ISNUMBER(H65)),"Not supplied",IF(H65=0,"n.a.",G65/H65))))))</x:f>
      </x:c>
      <x:c r="K65" s="7"/>
      <x:c r="L65" s="7"/>
      <x:c r="M65" s="7"/>
      <x:c r="N65" s="7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</x:row>
  </x:sheetData>
  <x:conditionalFormatting sqref="A1:AI70">
    <x:cfRule type="containsText" dxfId="4" priority="1" operator="containsText" text="Missing"/>
  </x:conditionalFormatting>
  <x:dataValidations count="3">
    <x:dataValidation type="list" sqref="E6:E65">
      <x:formula1>"D2C,B2B,Both"</x:formula1>
    </x:dataValidation>
    <x:dataValidation type="list" sqref="I6:I65">
      <x:formula1>"Amount,Ratio"</x:formula1>
    </x:dataValidation>
    <x:dataValidation type="list" sqref="K6:K65">
      <x:formula1>"Verified actual,Supplied assertion,Proposal,Not supplied"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898160a433475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18" hidden="0" customWidth="1"/>
    <x:col min="11" max="11" width="18" hidden="0" customWidth="1"/>
    <x:col min="12" max="12" width="18" hidden="0" customWidth="1"/>
    <x:col min="13" max="13" width="65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23" customHeight="1">
      <x:c r="A2" s="2" t="str">
        <x:v>Metric vault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3" customHeight="1">
      <x:c r="A3" s="3" t="str">
        <x:v>Proposed definitions, 10 October 2026. Source: docs/metrics/metric-vault.csv. Actual baselines not supplied.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</x:row>
    <x:row r="5" ht="44" customHeight="1">
      <x:c r="A5" s="6" t="str">
        <x:v>metric_id</x:v>
      </x:c>
      <x:c r="B5" s="6" t="str">
        <x:v>name</x:v>
      </x:c>
      <x:c r="C5" s="6" t="str">
        <x:v>motion</x:v>
      </x:c>
      <x:c r="D5" s="6" t="str">
        <x:v>stage</x:v>
      </x:c>
      <x:c r="E5" s="6" t="str">
        <x:v>unit</x:v>
      </x:c>
      <x:c r="F5" s="6" t="str">
        <x:v>numerator</x:v>
      </x:c>
      <x:c r="G5" s="6" t="str">
        <x:v>denominator</x:v>
      </x:c>
      <x:c r="H5" s="6" t="str">
        <x:v>window</x:v>
      </x:c>
      <x:c r="I5" s="6" t="str">
        <x:v>source_required</x:v>
      </x:c>
      <x:c r="J5" s="6" t="str">
        <x:v>cadence</x:v>
      </x:c>
      <x:c r="K5" s="6" t="str">
        <x:v>owner</x:v>
      </x:c>
      <x:c r="L5" s="6" t="str">
        <x:v>status</x:v>
      </x:c>
      <x:c r="M5" s="6" t="str">
        <x:v>main_caveat</x:v>
      </x:c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</x:row>
    <x:row r="6" ht="58" customHeight="1">
      <x:c r="A6" s="18" t="str">
        <x:v>EC01</x:v>
      </x:c>
      <x:c r="B6" s="18" t="str">
        <x:v>Net merchandise sales</x:v>
      </x:c>
      <x:c r="C6" s="18" t="str">
        <x:v>Both</x:v>
      </x:c>
      <x:c r="D6" s="18" t="str">
        <x:v>Revenue</x:v>
      </x:c>
      <x:c r="E6" s="18" t="str">
        <x:v>GBP</x:v>
      </x:c>
      <x:c r="F6" s="18" t="str">
        <x:v>Merchandise gross less discounts less merchandise refunds</x:v>
      </x:c>
      <x:c r="G6" s="18" t="str">
        <x:v>NA</x:v>
      </x:c>
      <x:c r="H6" s="18" t="str">
        <x:v>Calendar period</x:v>
      </x:c>
      <x:c r="I6" s="18" t="str">
        <x:v>Order ledger</x:v>
      </x:c>
      <x:c r="J6" s="18" t="str">
        <x:v>Monthly</x:v>
      </x:c>
      <x:c r="K6" s="18" t="str">
        <x:v>Metrics lead</x:v>
      </x:c>
      <x:c r="L6" s="18" t="str">
        <x:v>Proposed baseline unavailable</x:v>
      </x:c>
      <x:c r="M6" s="18" t="str">
        <x:v>Exclude VAT and shipping; reconcile refunds</x:v>
      </x:c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</x:row>
    <x:row r="7" ht="58" customHeight="1">
      <x:c r="A7" s="18" t="str">
        <x:v>EC02</x:v>
      </x:c>
      <x:c r="B7" s="18" t="str">
        <x:v>Contribution before acquisition</x:v>
      </x:c>
      <x:c r="C7" s="18" t="str">
        <x:v>Both</x:v>
      </x:c>
      <x:c r="D7" s="18" t="str">
        <x:v>Revenue</x:v>
      </x:c>
      <x:c r="E7" s="18" t="str">
        <x:v>GBP</x:v>
      </x:c>
      <x:c r="F7" s="18" t="str">
        <x:v>Net merchandise plus retained shipping less COGS fulfillment freight fees commissions variable service</x:v>
      </x:c>
      <x:c r="G7" s="18" t="str">
        <x:v>NA</x:v>
      </x:c>
      <x:c r="H7" s="18" t="str">
        <x:v>Calendar and order cohort</x:v>
      </x:c>
      <x:c r="I7" s="18" t="str">
        <x:v>Ledger plus cost table</x:v>
      </x:c>
      <x:c r="J7" s="18" t="str">
        <x:v>Monthly</x:v>
      </x:c>
      <x:c r="K7" s="18" t="str">
        <x:v>Metrics lead</x:v>
      </x:c>
      <x:c r="L7" s="18" t="str">
        <x:v>Proposed baseline unavailable</x:v>
      </x:c>
      <x:c r="M7" s="18" t="str">
        <x:v>Missing costs are unknown not zero; not net profit</x:v>
      </x:c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</x:row>
    <x:row r="8" ht="58" customHeight="1">
      <x:c r="A8" s="18" t="str">
        <x:v>EC03</x:v>
      </x:c>
      <x:c r="B8" s="18" t="str">
        <x:v>Contribution after acquisition</x:v>
      </x:c>
      <x:c r="C8" s="18" t="str">
        <x:v>Both</x:v>
      </x:c>
      <x:c r="D8" s="18" t="str">
        <x:v>Revenue</x:v>
      </x:c>
      <x:c r="E8" s="18" t="str">
        <x:v>GBP</x:v>
      </x:c>
      <x:c r="F8" s="18" t="str">
        <x:v>EC02 less allocated acquisition cost</x:v>
      </x:c>
      <x:c r="G8" s="18" t="str">
        <x:v>NA</x:v>
      </x:c>
      <x:c r="H8" s="18" t="str">
        <x:v>Matched calendar and cohort</x:v>
      </x:c>
      <x:c r="I8" s="18" t="str">
        <x:v>Ledger costs ad spend</x:v>
      </x:c>
      <x:c r="J8" s="18" t="str">
        <x:v>Monthly</x:v>
      </x:c>
      <x:c r="K8" s="18" t="str">
        <x:v>Metrics lead</x:v>
      </x:c>
      <x:c r="L8" s="18" t="str">
        <x:v>Proposed baseline unavailable</x:v>
      </x:c>
      <x:c r="M8" s="18" t="str">
        <x:v>Specify allocation; show fixed setup and overhead separately</x:v>
      </x:c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</x:row>
    <x:row r="9" ht="58" customHeight="1">
      <x:c r="A9" s="18" t="str">
        <x:v>EC04</x:v>
      </x:c>
      <x:c r="B9" s="18" t="str">
        <x:v>Contribution margin</x:v>
      </x:c>
      <x:c r="C9" s="18" t="str">
        <x:v>Both</x:v>
      </x:c>
      <x:c r="D9" s="18" t="str">
        <x:v>Revenue</x:v>
      </x:c>
      <x:c r="E9" s="18" t="str">
        <x:v>Percent</x:v>
      </x:c>
      <x:c r="F9" s="18" t="str">
        <x:v>EC02</x:v>
      </x:c>
      <x:c r="G9" s="18" t="str">
        <x:v>Net merchandise plus retained shipping</x:v>
      </x:c>
      <x:c r="H9" s="18" t="str">
        <x:v>Calendar period</x:v>
      </x:c>
      <x:c r="I9" s="18" t="str">
        <x:v>Ledger costs</x:v>
      </x:c>
      <x:c r="J9" s="18" t="str">
        <x:v>Monthly</x:v>
      </x:c>
      <x:c r="K9" s="18" t="str">
        <x:v>Metrics lead</x:v>
      </x:c>
      <x:c r="L9" s="18" t="str">
        <x:v>Proposed baseline unavailable</x:v>
      </x:c>
      <x:c r="M9" s="18" t="str">
        <x:v>Zero revenue yields NA; tax excluded</x:v>
      </x:c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</x:row>
    <x:row r="10" ht="58" customHeight="1">
      <x:c r="A10" s="18" t="str">
        <x:v>EC05</x:v>
      </x:c>
      <x:c r="B10" s="18" t="str">
        <x:v>Acquisition CAC blended</x:v>
      </x:c>
      <x:c r="C10" s="18" t="str">
        <x:v>D2C</x:v>
      </x:c>
      <x:c r="D10" s="18" t="str">
        <x:v>Acquisition</x:v>
      </x:c>
      <x:c r="E10" s="18" t="str">
        <x:v>GBP</x:v>
      </x:c>
      <x:c r="F10" s="18" t="str">
        <x:v>Acquisition-designated spend</x:v>
      </x:c>
      <x:c r="G10" s="18" t="str">
        <x:v>First-time valid buyers</x:v>
      </x:c>
      <x:c r="H10" s="18" t="str">
        <x:v>Calendar period</x:v>
      </x:c>
      <x:c r="I10" s="18" t="str">
        <x:v>Spend plus order history</x:v>
      </x:c>
      <x:c r="J10" s="18" t="str">
        <x:v>Monthly</x:v>
      </x:c>
      <x:c r="K10" s="18" t="str">
        <x:v>Metrics lead</x:v>
      </x:c>
      <x:c r="L10" s="18" t="str">
        <x:v>Proposed baseline unavailable</x:v>
      </x:c>
      <x:c r="M10" s="18" t="str">
        <x:v>Not causal; cost allocation and lag documented</x:v>
      </x:c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</x:row>
    <x:row r="11" ht="58" customHeight="1">
      <x:c r="A11" s="18" t="str">
        <x:v>EC06</x:v>
      </x:c>
      <x:c r="B11" s="18" t="str">
        <x:v>Attributed paid CAC</x:v>
      </x:c>
      <x:c r="C11" s="18" t="str">
        <x:v>D2C</x:v>
      </x:c>
      <x:c r="D11" s="18" t="str">
        <x:v>Acquisition</x:v>
      </x:c>
      <x:c r="E11" s="18" t="str">
        <x:v>GBP</x:v>
      </x:c>
      <x:c r="F11" s="18" t="str">
        <x:v>Acquisition spend for selected channel</x:v>
      </x:c>
      <x:c r="G11" s="18" t="str">
        <x:v>Attributed first-time valid buyers</x:v>
      </x:c>
      <x:c r="H11" s="18" t="str">
        <x:v>Declared attribution window</x:v>
      </x:c>
      <x:c r="I11" s="18" t="str">
        <x:v>Spend attribution order history</x:v>
      </x:c>
      <x:c r="J11" s="18" t="str">
        <x:v>Weekly</x:v>
      </x:c>
      <x:c r="K11" s="18" t="str">
        <x:v>Channel owner</x:v>
      </x:c>
      <x:c r="L11" s="18" t="str">
        <x:v>Proposed baseline unavailable</x:v>
      </x:c>
      <x:c r="M11" s="18" t="str">
        <x:v>Model-dependent and cross-device blind spots</x:v>
      </x:c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</x:row>
    <x:row r="12" ht="58" customHeight="1">
      <x:c r="A12" s="18" t="str">
        <x:v>EC07</x:v>
      </x:c>
      <x:c r="B12" s="18" t="str">
        <x:v>Attributed ROAS</x:v>
      </x:c>
      <x:c r="C12" s="18" t="str">
        <x:v>D2C</x:v>
      </x:c>
      <x:c r="D12" s="18" t="str">
        <x:v>Revenue</x:v>
      </x:c>
      <x:c r="E12" s="18" t="str">
        <x:v>Ratio</x:v>
      </x:c>
      <x:c r="F12" s="18" t="str">
        <x:v>Attributed net merchandise revenue</x:v>
      </x:c>
      <x:c r="G12" s="18" t="str">
        <x:v>Channel ad spend</x:v>
      </x:c>
      <x:c r="H12" s="18" t="str">
        <x:v>Declared attribution window</x:v>
      </x:c>
      <x:c r="I12" s="18" t="str">
        <x:v>Ads and reconciled orders</x:v>
      </x:c>
      <x:c r="J12" s="18" t="str">
        <x:v>Weekly</x:v>
      </x:c>
      <x:c r="K12" s="18" t="str">
        <x:v>Channel owner</x:v>
      </x:c>
      <x:c r="L12" s="18" t="str">
        <x:v>Proposed baseline unavailable</x:v>
      </x:c>
      <x:c r="M12" s="18" t="str">
        <x:v>Not incremental profit; platform claims not summed</x:v>
      </x:c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</x:row>
    <x:row r="13" ht="58" customHeight="1">
      <x:c r="A13" s="18" t="str">
        <x:v>EC08</x:v>
      </x:c>
      <x:c r="B13" s="18" t="str">
        <x:v>Net AOV</x:v>
      </x:c>
      <x:c r="C13" s="18" t="str">
        <x:v>D2C</x:v>
      </x:c>
      <x:c r="D13" s="18" t="str">
        <x:v>Revenue</x:v>
      </x:c>
      <x:c r="E13" s="18" t="str">
        <x:v>GBP</x:v>
      </x:c>
      <x:c r="F13" s="18" t="str">
        <x:v>Net merchandise sales</x:v>
      </x:c>
      <x:c r="G13" s="18" t="str">
        <x:v>Valid paid orders</x:v>
      </x:c>
      <x:c r="H13" s="18" t="str">
        <x:v>Calendar period</x:v>
      </x:c>
      <x:c r="I13" s="18" t="str">
        <x:v>Order ledger</x:v>
      </x:c>
      <x:c r="J13" s="18" t="str">
        <x:v>Monthly</x:v>
      </x:c>
      <x:c r="K13" s="18" t="str">
        <x:v>Metrics lead</x:v>
      </x:c>
      <x:c r="L13" s="18" t="str">
        <x:v>Proposed baseline unavailable</x:v>
      </x:c>
      <x:c r="M13" s="18" t="str">
        <x:v>Define partial refund policy; not client deck AOV until reconciled</x:v>
      </x:c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</x:row>
    <x:row r="14" ht="58" customHeight="1">
      <x:c r="A14" s="18" t="str">
        <x:v>EC09</x:v>
      </x:c>
      <x:c r="B14" s="18" t="str">
        <x:v>First-order contribution</x:v>
      </x:c>
      <x:c r="C14" s="18" t="str">
        <x:v>D2C</x:v>
      </x:c>
      <x:c r="D14" s="18" t="str">
        <x:v>Revenue</x:v>
      </x:c>
      <x:c r="E14" s="18" t="str">
        <x:v>GBP per buyer</x:v>
      </x:c>
      <x:c r="F14" s="18" t="str">
        <x:v>First valid order EC03 total</x:v>
      </x:c>
      <x:c r="G14" s="18" t="str">
        <x:v>First-time valid buyers</x:v>
      </x:c>
      <x:c r="H14" s="18" t="str">
        <x:v>First-order cohort</x:v>
      </x:c>
      <x:c r="I14" s="18" t="str">
        <x:v>Orders costs allocated spend</x:v>
      </x:c>
      <x:c r="J14" s="18" t="str">
        <x:v>Monthly</x:v>
      </x:c>
      <x:c r="K14" s="18" t="str">
        <x:v>Metrics lead</x:v>
      </x:c>
      <x:c r="L14" s="18" t="str">
        <x:v>Proposed baseline unavailable</x:v>
      </x:c>
      <x:c r="M14" s="18" t="str">
        <x:v>Test break-even claim after cost reconciliation</x:v>
      </x:c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</x:row>
    <x:row r="15" ht="58" customHeight="1">
      <x:c r="A15" s="18" t="str">
        <x:v>EC10</x:v>
      </x:c>
      <x:c r="B15" s="18" t="str">
        <x:v>Observed 180-day contribution per buyer</x:v>
      </x:c>
      <x:c r="C15" s="18" t="str">
        <x:v>D2C</x:v>
      </x:c>
      <x:c r="D15" s="18" t="str">
        <x:v>Revenue</x:v>
      </x:c>
      <x:c r="E15" s="18" t="str">
        <x:v>GBP per buyer</x:v>
      </x:c>
      <x:c r="F15" s="18" t="str">
        <x:v>Contribution within 180 days of first valid order</x:v>
      </x:c>
      <x:c r="G15" s="18" t="str">
        <x:v>Buyers with full 180-day observation</x:v>
      </x:c>
      <x:c r="H15" s="18" t="str">
        <x:v>First-purchase cohort</x:v>
      </x:c>
      <x:c r="I15" s="18" t="str">
        <x:v>Order history costs</x:v>
      </x:c>
      <x:c r="J15" s="18" t="str">
        <x:v>At maturity</x:v>
      </x:c>
      <x:c r="K15" s="18" t="str">
        <x:v>Metrics lead</x:v>
      </x:c>
      <x:c r="L15" s="18" t="str">
        <x:v>Proposed baseline unavailable</x:v>
      </x:c>
      <x:c r="M15" s="18" t="str">
        <x:v>Observed value not lifetime value</x:v>
      </x:c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</x:row>
    <x:row r="16" ht="58" customHeight="1">
      <x:c r="A16" s="18" t="str">
        <x:v>EC11</x:v>
      </x:c>
      <x:c r="B16" s="18" t="str">
        <x:v>Cost coverage</x:v>
      </x:c>
      <x:c r="C16" s="18" t="str">
        <x:v>Both</x:v>
      </x:c>
      <x:c r="D16" s="18" t="str">
        <x:v>Revenue</x:v>
      </x:c>
      <x:c r="E16" s="18" t="str">
        <x:v>Percent</x:v>
      </x:c>
      <x:c r="F16" s="18" t="str">
        <x:v>Net sales with all required cost fields</x:v>
      </x:c>
      <x:c r="G16" s="18" t="str">
        <x:v>All eligible net sales</x:v>
      </x:c>
      <x:c r="H16" s="18" t="str">
        <x:v>Calendar period</x:v>
      </x:c>
      <x:c r="I16" s="18" t="str">
        <x:v>Orders costs</x:v>
      </x:c>
      <x:c r="J16" s="18" t="str">
        <x:v>Weekly</x:v>
      </x:c>
      <x:c r="K16" s="18" t="str">
        <x:v>Metrics lead</x:v>
      </x:c>
      <x:c r="L16" s="18" t="str">
        <x:v>Proposed baseline unavailable</x:v>
      </x:c>
      <x:c r="M16" s="18" t="str">
        <x:v>Coverage is separate from profitability</x:v>
      </x:c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</x:row>
    <x:row r="17" ht="58" customHeight="1">
      <x:c r="A17" s="18" t="str">
        <x:v>EC12</x:v>
      </x:c>
      <x:c r="B17" s="18" t="str">
        <x:v>Discount intensity</x:v>
      </x:c>
      <x:c r="C17" s="18" t="str">
        <x:v>D2C</x:v>
      </x:c>
      <x:c r="D17" s="18" t="str">
        <x:v>Revenue</x:v>
      </x:c>
      <x:c r="E17" s="18" t="str">
        <x:v>Percent</x:v>
      </x:c>
      <x:c r="F17" s="18" t="str">
        <x:v>Merchandise discounts</x:v>
      </x:c>
      <x:c r="G17" s="18" t="str">
        <x:v>Pre-discount merchandise gross</x:v>
      </x:c>
      <x:c r="H17" s="18" t="str">
        <x:v>Calendar period</x:v>
      </x:c>
      <x:c r="I17" s="18" t="str">
        <x:v>Orders</x:v>
      </x:c>
      <x:c r="J17" s="18" t="str">
        <x:v>Monthly</x:v>
      </x:c>
      <x:c r="K17" s="18" t="str">
        <x:v>Metrics lead</x:v>
      </x:c>
      <x:c r="L17" s="18" t="str">
        <x:v>Proposed baseline unavailable</x:v>
      </x:c>
      <x:c r="M17" s="18" t="str">
        <x:v>Separate sale events and value gifts</x:v>
      </x:c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</x:row>
    <x:row r="18" ht="58" customHeight="1">
      <x:c r="A18" s="18" t="str">
        <x:v>CU01</x:v>
      </x:c>
      <x:c r="B18" s="18" t="str">
        <x:v>First-time valid buyers</x:v>
      </x:c>
      <x:c r="C18" s="18" t="str">
        <x:v>D2C</x:v>
      </x:c>
      <x:c r="D18" s="18" t="str">
        <x:v>Acquisition</x:v>
      </x:c>
      <x:c r="E18" s="18" t="str">
        <x:v>Buyers</x:v>
      </x:c>
      <x:c r="F18" s="18" t="str">
        <x:v>Distinct buyers at first valid purchase</x:v>
      </x:c>
      <x:c r="G18" s="18" t="str">
        <x:v>NA</x:v>
      </x:c>
      <x:c r="H18" s="18" t="str">
        <x:v>Calendar period</x:v>
      </x:c>
      <x:c r="I18" s="18" t="str">
        <x:v>Full order history</x:v>
      </x:c>
      <x:c r="J18" s="18" t="str">
        <x:v>Monthly</x:v>
      </x:c>
      <x:c r="K18" s="18" t="str">
        <x:v>CRM owner</x:v>
      </x:c>
      <x:c r="L18" s="18" t="str">
        <x:v>Proposed baseline unavailable</x:v>
      </x:c>
      <x:c r="M18" s="18" t="str">
        <x:v>Incomplete history misclassifies existing buyers</x:v>
      </x:c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</x:row>
    <x:row r="19" ht="58" customHeight="1">
      <x:c r="A19" s="18" t="str">
        <x:v>CU02</x:v>
      </x:c>
      <x:c r="B19" s="18" t="str">
        <x:v>Session purchase conversion</x:v>
      </x:c>
      <x:c r="C19" s="18" t="str">
        <x:v>D2C</x:v>
      </x:c>
      <x:c r="D19" s="18" t="str">
        <x:v>Revenue</x:v>
      </x:c>
      <x:c r="E19" s="18" t="str">
        <x:v>Percent</x:v>
      </x:c>
      <x:c r="F19" s="18" t="str">
        <x:v>Measurable eligible sessions with valid purchase</x:v>
      </x:c>
      <x:c r="G19" s="18" t="str">
        <x:v>Measurable eligible sessions</x:v>
      </x:c>
      <x:c r="H19" s="18" t="str">
        <x:v>Calendar period</x:v>
      </x:c>
      <x:c r="I19" s="18" t="str">
        <x:v>Analytics plus ledger</x:v>
      </x:c>
      <x:c r="J19" s="18" t="str">
        <x:v>Weekly</x:v>
      </x:c>
      <x:c r="K19" s="18" t="str">
        <x:v>Journey owner</x:v>
      </x:c>
      <x:c r="L19" s="18" t="str">
        <x:v>Proposed baseline unavailable</x:v>
      </x:c>
      <x:c r="M19" s="18" t="str">
        <x:v>Consent and cross-device gaps; not buyers divided by sessions</x:v>
      </x:c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</x:row>
    <x:row r="20" ht="58" customHeight="1">
      <x:c r="A20" s="18" t="str">
        <x:v>CU03</x:v>
      </x:c>
      <x:c r="B20" s="18" t="str">
        <x:v>Meaningful ritual activation</x:v>
      </x:c>
      <x:c r="C20" s="18" t="str">
        <x:v>D2C</x:v>
      </x:c>
      <x:c r="D20" s="18" t="str">
        <x:v>Activation</x:v>
      </x:c>
      <x:c r="E20" s="18" t="str">
        <x:v>Percent</x:v>
      </x:c>
      <x:c r="F20" s="18" t="str">
        <x:v>Eligible entrants saving or choosing next ritual step</x:v>
      </x:c>
      <x:c r="G20" s="18" t="str">
        <x:v>Eligible entrants exposed to flow</x:v>
      </x:c>
      <x:c r="H20" s="18" t="str">
        <x:v>Declared pilot window</x:v>
      </x:c>
      <x:c r="I20" s="18" t="str">
        <x:v>Events</x:v>
      </x:c>
      <x:c r="J20" s="18" t="str">
        <x:v>Weekly</x:v>
      </x:c>
      <x:c r="K20" s="18" t="str">
        <x:v>Journey owner</x:v>
      </x:c>
      <x:c r="L20" s="18" t="str">
        <x:v>Proposed baseline unavailable</x:v>
      </x:c>
      <x:c r="M20" s="18" t="str">
        <x:v>Proposed activation definition requires task validation</x:v>
      </x:c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</x:row>
    <x:row r="21" ht="58" customHeight="1">
      <x:c r="A21" s="18" t="str">
        <x:v>CU04</x:v>
      </x:c>
      <x:c r="B21" s="18" t="str">
        <x:v>Quiz completion</x:v>
      </x:c>
      <x:c r="C21" s="18" t="str">
        <x:v>D2C</x:v>
      </x:c>
      <x:c r="D21" s="18" t="str">
        <x:v>Activation</x:v>
      </x:c>
      <x:c r="E21" s="18" t="str">
        <x:v>Percent</x:v>
      </x:c>
      <x:c r="F21" s="18" t="str">
        <x:v>Completed distinct quiz attempts</x:v>
      </x:c>
      <x:c r="G21" s="18" t="str">
        <x:v>Started distinct quiz attempts</x:v>
      </x:c>
      <x:c r="H21" s="18" t="str">
        <x:v>Calendar period</x:v>
      </x:c>
      <x:c r="I21" s="18" t="str">
        <x:v>Quiz events</x:v>
      </x:c>
      <x:c r="J21" s="18" t="str">
        <x:v>Weekly</x:v>
      </x:c>
      <x:c r="K21" s="18" t="str">
        <x:v>Journey owner</x:v>
      </x:c>
      <x:c r="L21" s="18" t="str">
        <x:v>Proposed baseline unavailable</x:v>
      </x:c>
      <x:c r="M21" s="18" t="str">
        <x:v>Process metric not ritual adoption</x:v>
      </x:c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</x:row>
    <x:row r="22" ht="58" customHeight="1">
      <x:c r="A22" s="18" t="str">
        <x:v>CU05</x:v>
      </x:c>
      <x:c r="B22" s="18" t="str">
        <x:v>Recommendation usefulness</x:v>
      </x:c>
      <x:c r="C22" s="18" t="str">
        <x:v>D2C</x:v>
      </x:c>
      <x:c r="D22" s="18" t="str">
        <x:v>Activation</x:v>
      </x:c>
      <x:c r="E22" s="18" t="str">
        <x:v>Percent</x:v>
      </x:c>
      <x:c r="F22" s="18" t="str">
        <x:v>Positive optional usefulness responses</x:v>
      </x:c>
      <x:c r="G22" s="18" t="str">
        <x:v>All valid usefulness responses</x:v>
      </x:c>
      <x:c r="H22" s="18" t="str">
        <x:v>Calendar period</x:v>
      </x:c>
      <x:c r="I22" s="18" t="str">
        <x:v>Optional survey</x:v>
      </x:c>
      <x:c r="J22" s="18" t="str">
        <x:v>Weekly</x:v>
      </x:c>
      <x:c r="K22" s="18" t="str">
        <x:v>Journey owner</x:v>
      </x:c>
      <x:c r="L22" s="18" t="str">
        <x:v>Proposed baseline unavailable</x:v>
      </x:c>
      <x:c r="M22" s="18" t="str">
        <x:v>Self-selection; show invite response rate</x:v>
      </x:c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</x:row>
    <x:row r="23" ht="58" customHeight="1">
      <x:c r="A23" s="18" t="str">
        <x:v>CU06</x:v>
      </x:c>
      <x:c r="B23" s="18" t="str">
        <x:v>30-day second-purchase conversion</x:v>
      </x:c>
      <x:c r="C23" s="18" t="str">
        <x:v>D2C</x:v>
      </x:c>
      <x:c r="D23" s="18" t="str">
        <x:v>Retention</x:v>
      </x:c>
      <x:c r="E23" s="18" t="str">
        <x:v>Percent</x:v>
      </x:c>
      <x:c r="F23" s="18" t="str">
        <x:v>Matured buyers with subsequent valid purchase within 30 days</x:v>
      </x:c>
      <x:c r="G23" s="18" t="str">
        <x:v>First buyers observed for full 30 days</x:v>
      </x:c>
      <x:c r="H23" s="18" t="str">
        <x:v>First-purchase cohort</x:v>
      </x:c>
      <x:c r="I23" s="18" t="str">
        <x:v>Order history</x:v>
      </x:c>
      <x:c r="J23" s="18" t="str">
        <x:v>At maturity</x:v>
      </x:c>
      <x:c r="K23" s="18" t="str">
        <x:v>CRM owner</x:v>
      </x:c>
      <x:c r="L23" s="18" t="str">
        <x:v>Proposed baseline unavailable</x:v>
      </x:c>
      <x:c r="M23" s="18" t="str">
        <x:v>Immature buyers excluded and shown separately</x:v>
      </x:c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</x:row>
    <x:row r="24" ht="58" customHeight="1">
      <x:c r="A24" s="18" t="str">
        <x:v>CU07</x:v>
      </x:c>
      <x:c r="B24" s="18" t="str">
        <x:v>60-day second-purchase conversion</x:v>
      </x:c>
      <x:c r="C24" s="18" t="str">
        <x:v>D2C</x:v>
      </x:c>
      <x:c r="D24" s="18" t="str">
        <x:v>Retention</x:v>
      </x:c>
      <x:c r="E24" s="18" t="str">
        <x:v>Percent</x:v>
      </x:c>
      <x:c r="F24" s="18" t="str">
        <x:v>Matured buyers with subsequent valid purchase within 60 days</x:v>
      </x:c>
      <x:c r="G24" s="18" t="str">
        <x:v>First buyers observed for full 60 days</x:v>
      </x:c>
      <x:c r="H24" s="18" t="str">
        <x:v>First-purchase cohort</x:v>
      </x:c>
      <x:c r="I24" s="18" t="str">
        <x:v>Order history</x:v>
      </x:c>
      <x:c r="J24" s="18" t="str">
        <x:v>At maturity</x:v>
      </x:c>
      <x:c r="K24" s="18" t="str">
        <x:v>CRM owner</x:v>
      </x:c>
      <x:c r="L24" s="18" t="str">
        <x:v>Proposed baseline unavailable</x:v>
      </x:c>
      <x:c r="M24" s="18" t="str">
        <x:v>Cumulative conversion not calendar repeat share</x:v>
      </x:c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</x:row>
    <x:row r="25" ht="58" customHeight="1">
      <x:c r="A25" s="18" t="str">
        <x:v>CU08</x:v>
      </x:c>
      <x:c r="B25" s="18" t="str">
        <x:v>90-day second-purchase conversion</x:v>
      </x:c>
      <x:c r="C25" s="18" t="str">
        <x:v>D2C</x:v>
      </x:c>
      <x:c r="D25" s="18" t="str">
        <x:v>Retention</x:v>
      </x:c>
      <x:c r="E25" s="18" t="str">
        <x:v>Percent</x:v>
      </x:c>
      <x:c r="F25" s="18" t="str">
        <x:v>Matured buyers with subsequent valid purchase within 90 days</x:v>
      </x:c>
      <x:c r="G25" s="18" t="str">
        <x:v>First buyers observed for full 90 days</x:v>
      </x:c>
      <x:c r="H25" s="18" t="str">
        <x:v>First-purchase cohort</x:v>
      </x:c>
      <x:c r="I25" s="18" t="str">
        <x:v>Order history</x:v>
      </x:c>
      <x:c r="J25" s="18" t="str">
        <x:v>At maturity</x:v>
      </x:c>
      <x:c r="K25" s="18" t="str">
        <x:v>CRM owner</x:v>
      </x:c>
      <x:c r="L25" s="18" t="str">
        <x:v>Proposed baseline unavailable</x:v>
      </x:c>
      <x:c r="M25" s="18" t="str">
        <x:v>Predeclare valid order refund rules</x:v>
      </x:c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</x:row>
    <x:row r="26" ht="58" customHeight="1">
      <x:c r="A26" s="18" t="str">
        <x:v>CU09</x:v>
      </x:c>
      <x:c r="B26" s="18" t="str">
        <x:v>180-day second-purchase conversion</x:v>
      </x:c>
      <x:c r="C26" s="18" t="str">
        <x:v>D2C</x:v>
      </x:c>
      <x:c r="D26" s="18" t="str">
        <x:v>Retention</x:v>
      </x:c>
      <x:c r="E26" s="18" t="str">
        <x:v>Percent</x:v>
      </x:c>
      <x:c r="F26" s="18" t="str">
        <x:v>Matured buyers with subsequent valid purchase within 180 days</x:v>
      </x:c>
      <x:c r="G26" s="18" t="str">
        <x:v>First buyers observed for full 180 days</x:v>
      </x:c>
      <x:c r="H26" s="18" t="str">
        <x:v>First-purchase cohort</x:v>
      </x:c>
      <x:c r="I26" s="18" t="str">
        <x:v>Order history</x:v>
      </x:c>
      <x:c r="J26" s="18" t="str">
        <x:v>At maturity</x:v>
      </x:c>
      <x:c r="K26" s="18" t="str">
        <x:v>CRM owner</x:v>
      </x:c>
      <x:c r="L26" s="18" t="str">
        <x:v>Proposed baseline unavailable</x:v>
      </x:c>
      <x:c r="M26" s="18" t="str">
        <x:v>Not subscription retention</x:v>
      </x:c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</x:row>
    <x:row r="27" ht="58" customHeight="1">
      <x:c r="A27" s="18" t="str">
        <x:v>CU10</x:v>
      </x:c>
      <x:c r="B27" s="18" t="str">
        <x:v>Existing-buyer revenue share</x:v>
      </x:c>
      <x:c r="C27" s="18" t="str">
        <x:v>D2C</x:v>
      </x:c>
      <x:c r="D27" s="18" t="str">
        <x:v>Retention</x:v>
      </x:c>
      <x:c r="E27" s="18" t="str">
        <x:v>Percent</x:v>
      </x:c>
      <x:c r="F27" s="18" t="str">
        <x:v>Net revenue from orders after first valid purchase</x:v>
      </x:c>
      <x:c r="G27" s="18" t="str">
        <x:v>Total eligible net revenue</x:v>
      </x:c>
      <x:c r="H27" s="18" t="str">
        <x:v>Calendar period</x:v>
      </x:c>
      <x:c r="I27" s="18" t="str">
        <x:v>Order history</x:v>
      </x:c>
      <x:c r="J27" s="18" t="str">
        <x:v>Monthly</x:v>
      </x:c>
      <x:c r="K27" s="18" t="str">
        <x:v>CRM owner</x:v>
      </x:c>
      <x:c r="L27" s="18" t="str">
        <x:v>Proposed baseline unavailable</x:v>
      </x:c>
      <x:c r="M27" s="18" t="str">
        <x:v>Not customer repeat rate; supplied 54 percent basis unresolved</x:v>
      </x:c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</x:row>
    <x:row r="28" ht="58" customHeight="1">
      <x:c r="A28" s="18" t="str">
        <x:v>CU11</x:v>
      </x:c>
      <x:c r="B28" s="18" t="str">
        <x:v>Ritual expansion purchase</x:v>
      </x:c>
      <x:c r="C28" s="18" t="str">
        <x:v>D2C</x:v>
      </x:c>
      <x:c r="D28" s="18" t="str">
        <x:v>Retention</x:v>
      </x:c>
      <x:c r="E28" s="18" t="str">
        <x:v>Percent</x:v>
      </x:c>
      <x:c r="F28" s="18" t="str">
        <x:v>Matured buyers purchasing a distinct recommended ritual step within 90 days</x:v>
      </x:c>
      <x:c r="G28" s="18" t="str">
        <x:v>Eligible first ritual buyers observed for full 90 days</x:v>
      </x:c>
      <x:c r="H28" s="18" t="str">
        <x:v>Recommendation cohort</x:v>
      </x:c>
      <x:c r="I28" s="18" t="str">
        <x:v>Order lines ritual map</x:v>
      </x:c>
      <x:c r="J28" s="18" t="str">
        <x:v>At maturity</x:v>
      </x:c>
      <x:c r="K28" s="18" t="str">
        <x:v>CRM owner</x:v>
      </x:c>
      <x:c r="L28" s="18" t="str">
        <x:v>Proposed baseline unavailable</x:v>
      </x:c>
      <x:c r="M28" s="18" t="str">
        <x:v>Does not prove use; gifts and bundles separated</x:v>
      </x:c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</x:row>
    <x:row r="29" ht="58" customHeight="1">
      <x:c r="A29" s="18" t="str">
        <x:v>CU12</x:v>
      </x:c>
      <x:c r="B29" s="18" t="str">
        <x:v>Referral buyer conversion</x:v>
      </x:c>
      <x:c r="C29" s="18" t="str">
        <x:v>D2C</x:v>
      </x:c>
      <x:c r="D29" s="18" t="str">
        <x:v>Referral</x:v>
      </x:c>
      <x:c r="E29" s="18" t="str">
        <x:v>Percent</x:v>
      </x:c>
      <x:c r="F29" s="18" t="str">
        <x:v>Valid first buyers linked to referral landing</x:v>
      </x:c>
      <x:c r="G29" s="18" t="str">
        <x:v>Eligible measurable referred entrants</x:v>
      </x:c>
      <x:c r="H29" s="18" t="str">
        <x:v>Declared referral window</x:v>
      </x:c>
      <x:c r="I29" s="18" t="str">
        <x:v>Referral events ledger</x:v>
      </x:c>
      <x:c r="J29" s="18" t="str">
        <x:v>Monthly</x:v>
      </x:c>
      <x:c r="K29" s="18" t="str">
        <x:v>Channel owner</x:v>
      </x:c>
      <x:c r="L29" s="18" t="str">
        <x:v>Proposed baseline unavailable</x:v>
      </x:c>
      <x:c r="M29" s="18" t="str">
        <x:v>Code leakage and attribution limitations</x:v>
      </x:c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</x:row>
    <x:row r="30" ht="58" customHeight="1">
      <x:c r="A30" s="18" t="str">
        <x:v>RI01</x:v>
      </x:c>
      <x:c r="B30" s="18" t="str">
        <x:v>Voluntary reported practice days</x:v>
      </x:c>
      <x:c r="C30" s="18" t="str">
        <x:v>D2C</x:v>
      </x:c>
      <x:c r="D30" s="18" t="str">
        <x:v>Retention</x:v>
      </x:c>
      <x:c r="E30" s="18" t="str">
        <x:v>Days distribution</x:v>
      </x:c>
      <x:c r="F30" s="18" t="str">
        <x:v>Reported days ritual used in last seven days</x:v>
      </x:c>
      <x:c r="G30" s="18" t="str">
        <x:v>Valid respondents</x:v>
      </x:c>
      <x:c r="H30" s="18" t="str">
        <x:v>Fixed survey timing</x:v>
      </x:c>
      <x:c r="I30" s="18" t="str">
        <x:v>Optional check-in</x:v>
      </x:c>
      <x:c r="J30" s="18" t="str">
        <x:v>Monthly</x:v>
      </x:c>
      <x:c r="K30" s="18" t="str">
        <x:v>Research owner</x:v>
      </x:c>
      <x:c r="L30" s="18" t="str">
        <x:v>Proposed baseline unavailable</x:v>
      </x:c>
      <x:c r="M30" s="18" t="str">
        <x:v>Self-reported nonclinical and response-biased</x:v>
      </x:c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</x:row>
    <x:row r="31" ht="58" customHeight="1">
      <x:c r="A31" s="18" t="str">
        <x:v>RI02</x:v>
      </x:c>
      <x:c r="B31" s="18" t="str">
        <x:v>Check-in response</x:v>
      </x:c>
      <x:c r="C31" s="18" t="str">
        <x:v>D2C</x:v>
      </x:c>
      <x:c r="D31" s="18" t="str">
        <x:v>Retention</x:v>
      </x:c>
      <x:c r="E31" s="18" t="str">
        <x:v>Percent</x:v>
      </x:c>
      <x:c r="F31" s="18" t="str">
        <x:v>Valid voluntary respondents</x:v>
      </x:c>
      <x:c r="G31" s="18" t="str">
        <x:v>Delivered eligible invitations</x:v>
      </x:c>
      <x:c r="H31" s="18" t="str">
        <x:v>Fixed invitation window</x:v>
      </x:c>
      <x:c r="I31" s="18" t="str">
        <x:v>Survey delivery counts</x:v>
      </x:c>
      <x:c r="J31" s="18" t="str">
        <x:v>Monthly</x:v>
      </x:c>
      <x:c r="K31" s="18" t="str">
        <x:v>Research owner</x:v>
      </x:c>
      <x:c r="L31" s="18" t="str">
        <x:v>Proposed baseline unavailable</x:v>
      </x:c>
      <x:c r="M31" s="18" t="str">
        <x:v>Do not infer practice among nonrespondents</x:v>
      </x:c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</x:row>
    <x:row r="32" ht="58" customHeight="1">
      <x:c r="A32" s="18" t="str">
        <x:v>RI03</x:v>
      </x:c>
      <x:c r="B32" s="18" t="str">
        <x:v>Ritual feasibility</x:v>
      </x:c>
      <x:c r="C32" s="18" t="str">
        <x:v>D2C</x:v>
      </x:c>
      <x:c r="D32" s="18" t="str">
        <x:v>Activation</x:v>
      </x:c>
      <x:c r="E32" s="18" t="str">
        <x:v>Percent</x:v>
      </x:c>
      <x:c r="F32" s="18" t="str">
        <x:v>Respondents rating ritual feasible</x:v>
      </x:c>
      <x:c r="G32" s="18" t="str">
        <x:v>Valid feasibility respondents</x:v>
      </x:c>
      <x:c r="H32" s="18" t="str">
        <x:v>After exposure</x:v>
      </x:c>
      <x:c r="I32" s="18" t="str">
        <x:v>Optional survey</x:v>
      </x:c>
      <x:c r="J32" s="18" t="str">
        <x:v>Monthly</x:v>
      </x:c>
      <x:c r="K32" s="18" t="str">
        <x:v>Research owner</x:v>
      </x:c>
      <x:c r="L32" s="18" t="str">
        <x:v>Proposed baseline unavailable</x:v>
      </x:c>
      <x:c r="M32" s="18" t="str">
        <x:v>Instrument wording fixed; include time burden feedback</x:v>
      </x:c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</x:row>
    <x:row r="33" ht="58" customHeight="1">
      <x:c r="A33" s="18" t="str">
        <x:v>RI04</x:v>
      </x:c>
      <x:c r="B33" s="18" t="str">
        <x:v>Heritage explanation respect</x:v>
      </x:c>
      <x:c r="C33" s="18" t="str">
        <x:v>D2C</x:v>
      </x:c>
      <x:c r="D33" s="18" t="str">
        <x:v>Activation</x:v>
      </x:c>
      <x:c r="E33" s="18" t="str">
        <x:v>Percent</x:v>
      </x:c>
      <x:c r="F33" s="18" t="str">
        <x:v>Respondents rating explanation respectful</x:v>
      </x:c>
      <x:c r="G33" s="18" t="str">
        <x:v>Valid respect respondents</x:v>
      </x:c>
      <x:c r="H33" s="18" t="str">
        <x:v>After exposure</x:v>
      </x:c>
      <x:c r="I33" s="18" t="str">
        <x:v>Optional survey</x:v>
      </x:c>
      <x:c r="J33" s="18" t="str">
        <x:v>Monthly</x:v>
      </x:c>
      <x:c r="K33" s="18" t="str">
        <x:v>Research owner</x:v>
      </x:c>
      <x:c r="L33" s="18" t="str">
        <x:v>Proposed baseline unavailable</x:v>
      </x:c>
      <x:c r="M33" s="18" t="str">
        <x:v>No ethnic profiling; qualitative feedback alongside score</x:v>
      </x:c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</x:row>
    <x:row r="34" ht="58" customHeight="1">
      <x:c r="A34" s="18" t="str">
        <x:v>RI05</x:v>
      </x:c>
      <x:c r="B34" s="18" t="str">
        <x:v>Thread motif comprehension</x:v>
      </x:c>
      <x:c r="C34" s="18" t="str">
        <x:v>D2C</x:v>
      </x:c>
      <x:c r="D34" s="18" t="str">
        <x:v>Activation</x:v>
      </x:c>
      <x:c r="E34" s="18" t="str">
        <x:v>Percent</x:v>
      </x:c>
      <x:c r="F34" s="18" t="str">
        <x:v>Participants correctly explaining intended reviewed meaning</x:v>
      </x:c>
      <x:c r="G34" s="18" t="str">
        <x:v>Task participants with assessable response</x:v>
      </x:c>
      <x:c r="H34" s="18" t="str">
        <x:v>User-test session</x:v>
      </x:c>
      <x:c r="I34" s="18" t="str">
        <x:v>Consented task study</x:v>
      </x:c>
      <x:c r="J34" s="18" t="str">
        <x:v>Per iteration</x:v>
      </x:c>
      <x:c r="K34" s="18" t="str">
        <x:v>Research owner</x:v>
      </x:c>
      <x:c r="L34" s="18" t="str">
        <x:v>Proposed baseline unavailable</x:v>
      </x:c>
      <x:c r="M34" s="18" t="str">
        <x:v>Small purposive sample not population estimate</x:v>
      </x:c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</x:row>
    <x:row r="35" ht="58" customHeight="1">
      <x:c r="A35" s="18" t="str">
        <x:v>RI06</x:v>
      </x:c>
      <x:c r="B35" s="18" t="str">
        <x:v>Community repeat participation</x:v>
      </x:c>
      <x:c r="C35" s="18" t="str">
        <x:v>D2C</x:v>
      </x:c>
      <x:c r="D35" s="18" t="str">
        <x:v>Retention</x:v>
      </x:c>
      <x:c r="E35" s="18" t="str">
        <x:v>Percent</x:v>
      </x:c>
      <x:c r="F35" s="18" t="str">
        <x:v>Consented participants attending another session within window</x:v>
      </x:c>
      <x:c r="G35" s="18" t="str">
        <x:v>Matured first-session participants</x:v>
      </x:c>
      <x:c r="H35" s="18" t="str">
        <x:v>Declared community window</x:v>
      </x:c>
      <x:c r="I35" s="18" t="str">
        <x:v>Aggregate attendance</x:v>
      </x:c>
      <x:c r="J35" s="18" t="str">
        <x:v>Monthly</x:v>
      </x:c>
      <x:c r="K35" s="18" t="str">
        <x:v>Community owner</x:v>
      </x:c>
      <x:c r="L35" s="18" t="str">
        <x:v>Proposed baseline unavailable</x:v>
      </x:c>
      <x:c r="M35" s="18" t="str">
        <x:v>Not religious identity or customer retention</x:v>
      </x:c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</x:row>
    <x:row r="36" ht="58" customHeight="1">
      <x:c r="A36" s="18" t="str">
        <x:v>BB01</x:v>
      </x:c>
      <x:c r="B36" s="18" t="str">
        <x:v>Qualified account conversion</x:v>
      </x:c>
      <x:c r="C36" s="18" t="str">
        <x:v>B2B</x:v>
      </x:c>
      <x:c r="D36" s="18" t="str">
        <x:v>Acquisition</x:v>
      </x:c>
      <x:c r="E36" s="18" t="str">
        <x:v>Percent</x:v>
      </x:c>
      <x:c r="F36" s="18" t="str">
        <x:v>Accounts satisfying documented fit and agreed next step</x:v>
      </x:c>
      <x:c r="G36" s="18" t="str">
        <x:v>Eligible account inquiries</x:v>
      </x:c>
      <x:c r="H36" s="18" t="str">
        <x:v>Account cohort</x:v>
      </x:c>
      <x:c r="I36" s="18" t="str">
        <x:v>Private CRM aggregate</x:v>
      </x:c>
      <x:c r="J36" s="18" t="str">
        <x:v>Monthly</x:v>
      </x:c>
      <x:c r="K36" s="18" t="str">
        <x:v>B2B owner</x:v>
      </x:c>
      <x:c r="L36" s="18" t="str">
        <x:v>Proposed baseline unavailable</x:v>
      </x:c>
      <x:c r="M36" s="18" t="str">
        <x:v>Deduplicate multi-contact accounts</x:v>
      </x:c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</x:row>
    <x:row r="37" ht="58" customHeight="1">
      <x:c r="A37" s="18" t="str">
        <x:v>BB02</x:v>
      </x:c>
      <x:c r="B37" s="18" t="str">
        <x:v>Pilot activation</x:v>
      </x:c>
      <x:c r="C37" s="18" t="str">
        <x:v>B2B</x:v>
      </x:c>
      <x:c r="D37" s="18" t="str">
        <x:v>Activation</x:v>
      </x:c>
      <x:c r="E37" s="18" t="str">
        <x:v>Percent</x:v>
      </x:c>
      <x:c r="F37" s="18" t="str">
        <x:v>Qualified accounts beginning agreed pilot or training</x:v>
      </x:c>
      <x:c r="G37" s="18" t="str">
        <x:v>Matured qualified accounts with opportunity window</x:v>
      </x:c>
      <x:c r="H37" s="18" t="str">
        <x:v>Account cohort</x:v>
      </x:c>
      <x:c r="I37" s="18" t="str">
        <x:v>Private CRM aggregate</x:v>
      </x:c>
      <x:c r="J37" s="18" t="str">
        <x:v>Monthly</x:v>
      </x:c>
      <x:c r="K37" s="18" t="str">
        <x:v>B2B owner</x:v>
      </x:c>
      <x:c r="L37" s="18" t="str">
        <x:v>Proposed baseline unavailable</x:v>
      </x:c>
      <x:c r="M37" s="18" t="str">
        <x:v>Free sample is not first sale</x:v>
      </x:c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</x:row>
    <x:row r="38" ht="58" customHeight="1">
      <x:c r="A38" s="18" t="str">
        <x:v>BB03</x:v>
      </x:c>
      <x:c r="B38" s="18" t="str">
        <x:v>First commercial-order conversion</x:v>
      </x:c>
      <x:c r="C38" s="18" t="str">
        <x:v>B2B</x:v>
      </x:c>
      <x:c r="D38" s="18" t="str">
        <x:v>Revenue</x:v>
      </x:c>
      <x:c r="E38" s="18" t="str">
        <x:v>Percent</x:v>
      </x:c>
      <x:c r="F38" s="18" t="str">
        <x:v>Pilot accounts placing first commercial valid order</x:v>
      </x:c>
      <x:c r="G38" s="18" t="str">
        <x:v>Matured pilot accounts</x:v>
      </x:c>
      <x:c r="H38" s="18" t="str">
        <x:v>Declared pilot cohort window</x:v>
      </x:c>
      <x:c r="I38" s="18" t="str">
        <x:v>CRM wholesale ledger</x:v>
      </x:c>
      <x:c r="J38" s="18" t="str">
        <x:v>Monthly</x:v>
      </x:c>
      <x:c r="K38" s="18" t="str">
        <x:v>B2B owner</x:v>
      </x:c>
      <x:c r="L38" s="18" t="str">
        <x:v>Proposed baseline unavailable</x:v>
      </x:c>
      <x:c r="M38" s="18" t="str">
        <x:v>Long sales cycle and small samples</x:v>
      </x:c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</x:row>
    <x:row r="39" ht="58" customHeight="1">
      <x:c r="A39" s="18" t="str">
        <x:v>BB04</x:v>
      </x:c>
      <x:c r="B39" s="18" t="str">
        <x:v>Eligible account reorder</x:v>
      </x:c>
      <x:c r="C39" s="18" t="str">
        <x:v>B2B</x:v>
      </x:c>
      <x:c r="D39" s="18" t="str">
        <x:v>Retention</x:v>
      </x:c>
      <x:c r="E39" s="18" t="str">
        <x:v>Percent</x:v>
      </x:c>
      <x:c r="F39" s="18" t="str">
        <x:v>Accounts reordering within agreed interval</x:v>
      </x:c>
      <x:c r="G39" s="18" t="str">
        <x:v>First-order accounts observed for full interval</x:v>
      </x:c>
      <x:c r="H39" s="18" t="str">
        <x:v>Account first-order cohort</x:v>
      </x:c>
      <x:c r="I39" s="18" t="str">
        <x:v>Wholesale ledger</x:v>
      </x:c>
      <x:c r="J39" s="18" t="str">
        <x:v>At maturity</x:v>
      </x:c>
      <x:c r="K39" s="18" t="str">
        <x:v>B2B owner</x:v>
      </x:c>
      <x:c r="L39" s="18" t="str">
        <x:v>Proposed baseline unavailable</x:v>
      </x:c>
      <x:c r="M39" s="18" t="str">
        <x:v>Do not use D2C replenishment window uncritically</x:v>
      </x:c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</x:row>
    <x:row r="40" ht="58" customHeight="1">
      <x:c r="A40" s="18" t="str">
        <x:v>BB05</x:v>
      </x:c>
      <x:c r="B40" s="18" t="str">
        <x:v>Account contribution</x:v>
      </x:c>
      <x:c r="C40" s="18" t="str">
        <x:v>B2B</x:v>
      </x:c>
      <x:c r="D40" s="18" t="str">
        <x:v>Revenue</x:v>
      </x:c>
      <x:c r="E40" s="18" t="str">
        <x:v>GBP</x:v>
      </x:c>
      <x:c r="F40" s="18" t="str">
        <x:v>Net wholesale sales less product servicing freight commissions samples training variable costs</x:v>
      </x:c>
      <x:c r="G40" s="18" t="str">
        <x:v>NA</x:v>
      </x:c>
      <x:c r="H40" s="18" t="str">
        <x:v>Account and period</x:v>
      </x:c>
      <x:c r="I40" s="18" t="str">
        <x:v>Wholesale cost ledger</x:v>
      </x:c>
      <x:c r="J40" s="18" t="str">
        <x:v>Monthly</x:v>
      </x:c>
      <x:c r="K40" s="18" t="str">
        <x:v>B2B owner</x:v>
      </x:c>
      <x:c r="L40" s="18" t="str">
        <x:v>Proposed baseline unavailable</x:v>
      </x:c>
      <x:c r="M40" s="18" t="str">
        <x:v>Payment delays and relationship cost included separately</x:v>
      </x:c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</x:row>
    <x:row r="41" ht="58" customHeight="1">
      <x:c r="A41" s="18" t="str">
        <x:v>BB06</x:v>
      </x:c>
      <x:c r="B41" s="18" t="str">
        <x:v>Partner sell-in</x:v>
      </x:c>
      <x:c r="C41" s="18" t="str">
        <x:v>B2B</x:v>
      </x:c>
      <x:c r="D41" s="18" t="str">
        <x:v>Revenue</x:v>
      </x:c>
      <x:c r="E41" s="18" t="str">
        <x:v>Units and GBP</x:v>
      </x:c>
      <x:c r="F41" s="18" t="str">
        <x:v>Units or net value shipped and invoiced to partner</x:v>
      </x:c>
      <x:c r="G41" s="18" t="str">
        <x:v>NA</x:v>
      </x:c>
      <x:c r="H41" s="18" t="str">
        <x:v>Calendar period</x:v>
      </x:c>
      <x:c r="I41" s="18" t="str">
        <x:v>Wholesale ledger</x:v>
      </x:c>
      <x:c r="J41" s="18" t="str">
        <x:v>Monthly</x:v>
      </x:c>
      <x:c r="K41" s="18" t="str">
        <x:v>B2B owner</x:v>
      </x:c>
      <x:c r="L41" s="18" t="str">
        <x:v>Proposed baseline unavailable</x:v>
      </x:c>
      <x:c r="M41" s="18" t="str">
        <x:v>Not guest consumer demand</x:v>
      </x:c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</x:row>
    <x:row r="42" ht="58" customHeight="1">
      <x:c r="A42" s="18" t="str">
        <x:v>BB07</x:v>
      </x:c>
      <x:c r="B42" s="18" t="str">
        <x:v>Partner sell-through</x:v>
      </x:c>
      <x:c r="C42" s="18" t="str">
        <x:v>B2B</x:v>
      </x:c>
      <x:c r="D42" s="18" t="str">
        <x:v>Revenue</x:v>
      </x:c>
      <x:c r="E42" s="18" t="str">
        <x:v>Percent</x:v>
      </x:c>
      <x:c r="F42" s="18" t="str">
        <x:v>Verified consumer units sold in period</x:v>
      </x:c>
      <x:c r="G42" s="18" t="str">
        <x:v>Opening sellable stock plus receipts in period</x:v>
      </x:c>
      <x:c r="H42" s="18" t="str">
        <x:v>Partner stock period</x:v>
      </x:c>
      <x:c r="I42" s="18" t="str">
        <x:v>Partner POS stock reports</x:v>
      </x:c>
      <x:c r="J42" s="18" t="str">
        <x:v>Monthly</x:v>
      </x:c>
      <x:c r="K42" s="18" t="str">
        <x:v>B2B owner</x:v>
      </x:c>
      <x:c r="L42" s="18" t="str">
        <x:v>Proposed baseline unavailable</x:v>
      </x:c>
      <x:c r="M42" s="18" t="str">
        <x:v>Adjust stock transfers returns; treatment use separate</x:v>
      </x:c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</x:row>
    <x:row r="43" ht="58" customHeight="1">
      <x:c r="A43" s="18" t="str">
        <x:v>BB08</x:v>
      </x:c>
      <x:c r="B43" s="18" t="str">
        <x:v>Partner bridge activation</x:v>
      </x:c>
      <x:c r="C43" s="18" t="str">
        <x:v>Both</x:v>
      </x:c>
      <x:c r="D43" s="18" t="str">
        <x:v>Activation</x:v>
      </x:c>
      <x:c r="E43" s="18" t="str">
        <x:v>Percent</x:v>
      </x:c>
      <x:c r="F43" s="18" t="str">
        <x:v>Partner-coded entrants saving or choosing ritual</x:v>
      </x:c>
      <x:c r="G43" s="18" t="str">
        <x:v>Eligible measurable partner-coded entrants</x:v>
      </x:c>
      <x:c r="H43" s="18" t="str">
        <x:v>Partner campaign window</x:v>
      </x:c>
      <x:c r="I43" s="18" t="str">
        <x:v>QR landing events</x:v>
      </x:c>
      <x:c r="J43" s="18" t="str">
        <x:v>Weekly</x:v>
      </x:c>
      <x:c r="K43" s="18" t="str">
        <x:v>B2B owner</x:v>
      </x:c>
      <x:c r="L43" s="18" t="str">
        <x:v>Proposed baseline unavailable</x:v>
      </x:c>
      <x:c r="M43" s="18" t="str">
        <x:v>No guest identity required; scans do not imply stay counts</x:v>
      </x:c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</x:row>
    <x:row r="44" ht="58" customHeight="1">
      <x:c r="A44" s="18" t="str">
        <x:v>BB09</x:v>
      </x:c>
      <x:c r="B44" s="18" t="str">
        <x:v>Overdue receivables</x:v>
      </x:c>
      <x:c r="C44" s="18" t="str">
        <x:v>B2B</x:v>
      </x:c>
      <x:c r="D44" s="18" t="str">
        <x:v>Revenue</x:v>
      </x:c>
      <x:c r="E44" s="18" t="str">
        <x:v>GBP</x:v>
      </x:c>
      <x:c r="F44" s="18" t="str">
        <x:v>Unpaid invoice balance past agreed due date</x:v>
      </x:c>
      <x:c r="G44" s="18" t="str">
        <x:v>NA</x:v>
      </x:c>
      <x:c r="H44" s="18" t="str">
        <x:v>As-of date</x:v>
      </x:c>
      <x:c r="I44" s="18" t="str">
        <x:v>Accounting receivables</x:v>
      </x:c>
      <x:c r="J44" s="18" t="str">
        <x:v>Monthly</x:v>
      </x:c>
      <x:c r="K44" s="18" t="str">
        <x:v>Metrics lead</x:v>
      </x:c>
      <x:c r="L44" s="18" t="str">
        <x:v>Proposed baseline unavailable</x:v>
      </x:c>
      <x:c r="M44" s="18" t="str">
        <x:v>Sales and cash collection differ</x:v>
      </x:c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</x:row>
    <x:row r="45" ht="58" customHeight="1">
      <x:c r="A45" s="18" t="str">
        <x:v>SE01</x:v>
      </x:c>
      <x:c r="B45" s="18" t="str">
        <x:v>Organic search clicks</x:v>
      </x:c>
      <x:c r="C45" s="18" t="str">
        <x:v>D2C</x:v>
      </x:c>
      <x:c r="D45" s="18" t="str">
        <x:v>Acquisition</x:v>
      </x:c>
      <x:c r="E45" s="18" t="str">
        <x:v>Clicks</x:v>
      </x:c>
      <x:c r="F45" s="18" t="str">
        <x:v>Search Console reported Web clicks</x:v>
      </x:c>
      <x:c r="G45" s="18" t="str">
        <x:v>NA</x:v>
      </x:c>
      <x:c r="H45" s="18" t="str">
        <x:v>Calendar period</x:v>
      </x:c>
      <x:c r="I45" s="18" t="str">
        <x:v>Verified Search Console</x:v>
      </x:c>
      <x:c r="J45" s="18" t="str">
        <x:v>Monthly</x:v>
      </x:c>
      <x:c r="K45" s="18" t="str">
        <x:v>Discovery owner</x:v>
      </x:c>
      <x:c r="L45" s="18" t="str">
        <x:v>Proposed baseline unavailable</x:v>
      </x:c>
      <x:c r="M45" s="18" t="str">
        <x:v>AI features may be bundled; query privacy gaps</x:v>
      </x:c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</x:row>
    <x:row r="46" ht="58" customHeight="1">
      <x:c r="A46" s="18" t="str">
        <x:v>SE02</x:v>
      </x:c>
      <x:c r="B46" s="18" t="str">
        <x:v>Organic search CTR</x:v>
      </x:c>
      <x:c r="C46" s="18" t="str">
        <x:v>D2C</x:v>
      </x:c>
      <x:c r="D46" s="18" t="str">
        <x:v>Acquisition</x:v>
      </x:c>
      <x:c r="E46" s="18" t="str">
        <x:v>Percent</x:v>
      </x:c>
      <x:c r="F46" s="18" t="str">
        <x:v>Search Console Web clicks</x:v>
      </x:c>
      <x:c r="G46" s="18" t="str">
        <x:v>Search Console Web impressions</x:v>
      </x:c>
      <x:c r="H46" s="18" t="str">
        <x:v>Matched property filters</x:v>
      </x:c>
      <x:c r="I46" s="18" t="str">
        <x:v>Verified Search Console</x:v>
      </x:c>
      <x:c r="J46" s="18" t="str">
        <x:v>Monthly</x:v>
      </x:c>
      <x:c r="K46" s="18" t="str">
        <x:v>Discovery owner</x:v>
      </x:c>
      <x:c r="L46" s="18" t="str">
        <x:v>Proposed baseline unavailable</x:v>
      </x:c>
      <x:c r="M46" s="18" t="str">
        <x:v>Impression is not identifiable shopper exposure</x:v>
      </x:c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</x:row>
    <x:row r="47" ht="58" customHeight="1">
      <x:c r="A47" s="18" t="str">
        <x:v>SE03</x:v>
      </x:c>
      <x:c r="B47" s="18" t="str">
        <x:v>Indexed priority-page coverage</x:v>
      </x:c>
      <x:c r="C47" s="18" t="str">
        <x:v>D2C</x:v>
      </x:c>
      <x:c r="D47" s="18" t="str">
        <x:v>Awareness</x:v>
      </x:c>
      <x:c r="E47" s="18" t="str">
        <x:v>Percent</x:v>
      </x:c>
      <x:c r="F47" s="18" t="str">
        <x:v>Priority pages verified indexed</x:v>
      </x:c>
      <x:c r="G47" s="18" t="str">
        <x:v>Declared priority-page list</x:v>
      </x:c>
      <x:c r="H47" s="18" t="str">
        <x:v>As-of audit</x:v>
      </x:c>
      <x:c r="I47" s="18" t="str">
        <x:v>Search Console URL inspection</x:v>
      </x:c>
      <x:c r="J47" s="18" t="str">
        <x:v>Monthly</x:v>
      </x:c>
      <x:c r="K47" s="18" t="str">
        <x:v>Discovery owner</x:v>
      </x:c>
      <x:c r="L47" s="18" t="str">
        <x:v>Proposed baseline unavailable</x:v>
      </x:c>
      <x:c r="M47" s="18" t="str">
        <x:v>Indexed does not guarantee serving or citations</x:v>
      </x:c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</x:row>
    <x:row r="48" ht="58" customHeight="1">
      <x:c r="A48" s="18" t="str">
        <x:v>AI01</x:v>
      </x:c>
      <x:c r="B48" s="18" t="str">
        <x:v>Observed mention rate</x:v>
      </x:c>
      <x:c r="C48" s="18" t="str">
        <x:v>Both</x:v>
      </x:c>
      <x:c r="D48" s="18" t="str">
        <x:v>Awareness</x:v>
      </x:c>
      <x:c r="E48" s="18" t="str">
        <x:v>Percent</x:v>
      </x:c>
      <x:c r="F48" s="18" t="str">
        <x:v>Valid category observations naming Mauli</x:v>
      </x:c>
      <x:c r="G48" s="18" t="str">
        <x:v>Valid completed category prompt-engine observations</x:v>
      </x:c>
      <x:c r="H48" s="18" t="str">
        <x:v>Fixed panel run</x:v>
      </x:c>
      <x:c r="I48" s="18" t="str">
        <x:v>Manual panel evidence</x:v>
      </x:c>
      <x:c r="J48" s="18" t="str">
        <x:v>Monthly</x:v>
      </x:c>
      <x:c r="K48" s="18" t="str">
        <x:v>Discovery owner</x:v>
      </x:c>
      <x:c r="L48" s="18" t="str">
        <x:v>Proposed baseline unavailable</x:v>
      </x:c>
      <x:c r="M48" s="18" t="str">
        <x:v>Panel directional not category population</x:v>
      </x:c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</x:row>
    <x:row r="49" ht="58" customHeight="1">
      <x:c r="A49" s="18" t="str">
        <x:v>AI02</x:v>
      </x:c>
      <x:c r="B49" s="18" t="str">
        <x:v>Observed recommendation rate</x:v>
      </x:c>
      <x:c r="C49" s="18" t="str">
        <x:v>Both</x:v>
      </x:c>
      <x:c r="D49" s="18" t="str">
        <x:v>Awareness</x:v>
      </x:c>
      <x:c r="E49" s="18" t="str">
        <x:v>Percent</x:v>
      </x:c>
      <x:c r="F49" s="18" t="str">
        <x:v>Valid category observations explicitly recommending Mauli</x:v>
      </x:c>
      <x:c r="G49" s="18" t="str">
        <x:v>Valid completed category prompt-engine observations</x:v>
      </x:c>
      <x:c r="H49" s="18" t="str">
        <x:v>Fixed panel run</x:v>
      </x:c>
      <x:c r="I49" s="18" t="str">
        <x:v>Manual panel evidence</x:v>
      </x:c>
      <x:c r="J49" s="18" t="str">
        <x:v>Monthly</x:v>
      </x:c>
      <x:c r="K49" s="18" t="str">
        <x:v>Discovery owner</x:v>
      </x:c>
      <x:c r="L49" s="18" t="str">
        <x:v>Proposed baseline unavailable</x:v>
      </x:c>
      <x:c r="M49" s="18" t="str">
        <x:v>Mention not endorsement; no artificial top-five rule</x:v>
      </x:c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</x:row>
    <x:row r="50" ht="58" customHeight="1">
      <x:c r="A50" s="18" t="str">
        <x:v>AI03</x:v>
      </x:c>
      <x:c r="B50" s="18" t="str">
        <x:v>Owned citation rate</x:v>
      </x:c>
      <x:c r="C50" s="18" t="str">
        <x:v>Both</x:v>
      </x:c>
      <x:c r="D50" s="18" t="str">
        <x:v>Awareness</x:v>
      </x:c>
      <x:c r="E50" s="18" t="str">
        <x:v>Percent</x:v>
      </x:c>
      <x:c r="F50" s="18" t="str">
        <x:v>Observations citing verified Mauli-owned URL</x:v>
      </x:c>
      <x:c r="G50" s="18" t="str">
        <x:v>Valid completed observations</x:v>
      </x:c>
      <x:c r="H50" s="18" t="str">
        <x:v>Fixed panel run</x:v>
      </x:c>
      <x:c r="I50" s="18" t="str">
        <x:v>Manual panel evidence</x:v>
      </x:c>
      <x:c r="J50" s="18" t="str">
        <x:v>Monthly</x:v>
      </x:c>
      <x:c r="K50" s="18" t="str">
        <x:v>Discovery owner</x:v>
      </x:c>
      <x:c r="L50" s="18" t="str">
        <x:v>Proposed baseline unavailable</x:v>
      </x:c>
      <x:c r="M50" s="18" t="str">
        <x:v>Citation is not attributable visit</x:v>
      </x:c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</x:row>
    <x:row r="51" ht="58" customHeight="1">
      <x:c r="A51" s="18" t="str">
        <x:v>AI04</x:v>
      </x:c>
      <x:c r="B51" s="18" t="str">
        <x:v>Observed brand mention share</x:v>
      </x:c>
      <x:c r="C51" s="18" t="str">
        <x:v>Both</x:v>
      </x:c>
      <x:c r="D51" s="18" t="str">
        <x:v>Awareness</x:v>
      </x:c>
      <x:c r="E51" s="18" t="str">
        <x:v>Percent</x:v>
      </x:c>
      <x:c r="F51" s="18" t="str">
        <x:v>Mauli occurrences under fixed counting rule</x:v>
      </x:c>
      <x:c r="G51" s="18" t="str">
        <x:v>All observed brand occurrences under same rule</x:v>
      </x:c>
      <x:c r="H51" s="18" t="str">
        <x:v>Fixed panel run</x:v>
      </x:c>
      <x:c r="I51" s="18" t="str">
        <x:v>Manual panel evidence</x:v>
      </x:c>
      <x:c r="J51" s="18" t="str">
        <x:v>Monthly</x:v>
      </x:c>
      <x:c r="K51" s="18" t="str">
        <x:v>Discovery owner</x:v>
      </x:c>
      <x:c r="L51" s="18" t="str">
        <x:v>Proposed baseline unavailable</x:v>
      </x:c>
      <x:c r="M51" s="18" t="str">
        <x:v>Not market share or universal agent-mind</x:v>
      </x:c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</x:row>
    <x:row r="52" ht="58" customHeight="1">
      <x:c r="A52" s="18" t="str">
        <x:v>AI05</x:v>
      </x:c>
      <x:c r="B52" s="18" t="str">
        <x:v>Answer claim accuracy</x:v>
      </x:c>
      <x:c r="C52" s="18" t="str">
        <x:v>Both</x:v>
      </x:c>
      <x:c r="D52" s="18" t="str">
        <x:v>Awareness</x:v>
      </x:c>
      <x:c r="E52" s="18" t="str">
        <x:v>Percent</x:v>
      </x:c>
      <x:c r="F52" s="18" t="str">
        <x:v>Correct assessable checked claims</x:v>
      </x:c>
      <x:c r="G52" s="18" t="str">
        <x:v>All assessable checked claims</x:v>
      </x:c>
      <x:c r="H52" s="18" t="str">
        <x:v>Matched live-fact timestamp</x:v>
      </x:c>
      <x:c r="I52" s="18" t="str">
        <x:v>Panel plus authoritative facts</x:v>
      </x:c>
      <x:c r="J52" s="18" t="str">
        <x:v>Monthly</x:v>
      </x:c>
      <x:c r="K52" s="18" t="str">
        <x:v>Discovery owner</x:v>
      </x:c>
      <x:c r="L52" s="18" t="str">
        <x:v>Proposed baseline unavailable</x:v>
      </x:c>
      <x:c r="M52" s="18" t="str">
        <x:v>Unverifiable separated; dynamic stock prices need timestamp</x:v>
      </x:c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</x:row>
    <x:row r="53" ht="58" customHeight="1">
      <x:c r="A53" s="18" t="str">
        <x:v>AI06</x:v>
      </x:c>
      <x:c r="B53" s="18" t="str">
        <x:v>Unsupported health-claim incidence</x:v>
      </x:c>
      <x:c r="C53" s="18" t="str">
        <x:v>Both</x:v>
      </x:c>
      <x:c r="D53" s="18" t="str">
        <x:v>Awareness</x:v>
      </x:c>
      <x:c r="E53" s="18" t="str">
        <x:v>Percent</x:v>
      </x:c>
      <x:c r="F53" s="18" t="str">
        <x:v>Reviewed answers making unsupported health claims</x:v>
      </x:c>
      <x:c r="G53" s="18" t="str">
        <x:v>Reviewed brand-related answers</x:v>
      </x:c>
      <x:c r="H53" s="18" t="str">
        <x:v>Fixed panel run</x:v>
      </x:c>
      <x:c r="I53" s="18" t="str">
        <x:v>Manual review</x:v>
      </x:c>
      <x:c r="J53" s="18" t="str">
        <x:v>Monthly</x:v>
      </x:c>
      <x:c r="K53" s="18" t="str">
        <x:v>Research owner</x:v>
      </x:c>
      <x:c r="L53" s="18" t="str">
        <x:v>Proposed baseline unavailable</x:v>
      </x:c>
      <x:c r="M53" s="18" t="str">
        <x:v>Does not establish clinical efficacy</x:v>
      </x:c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</x:row>
    <x:row r="54" ht="58" customHeight="1">
      <x:c r="A54" s="18" t="str">
        <x:v>AI07</x:v>
      </x:c>
      <x:c r="B54" s="18" t="str">
        <x:v>Citation drift</x:v>
      </x:c>
      <x:c r="C54" s="18" t="str">
        <x:v>Both</x:v>
      </x:c>
      <x:c r="D54" s="18" t="str">
        <x:v>Awareness</x:v>
      </x:c>
      <x:c r="E54" s="18" t="str">
        <x:v>Ratio</x:v>
      </x:c>
      <x:c r="F54" s="18" t="str">
        <x:v>One minus matched-pair citation-set Jaccard overlap</x:v>
      </x:c>
      <x:c r="G54" s="18" t="str">
        <x:v>NA</x:v>
      </x:c>
      <x:c r="H54" s="18" t="str">
        <x:v>Matched two audit periods</x:v>
      </x:c>
      <x:c r="I54" s="18" t="str">
        <x:v>Canonical citation URL sets</x:v>
      </x:c>
      <x:c r="J54" s="18" t="str">
        <x:v>Monthly</x:v>
      </x:c>
      <x:c r="K54" s="18" t="str">
        <x:v>Discovery owner</x:v>
      </x:c>
      <x:c r="L54" s="18" t="str">
        <x:v>Proposed baseline unavailable</x:v>
      </x:c>
      <x:c r="M54" s="18" t="str">
        <x:v>Both empty NA; small sets unstable</x:v>
      </x:c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</x:row>
    <x:row r="55" ht="58" customHeight="1">
      <x:c r="A55" s="18" t="str">
        <x:v>AI08</x:v>
      </x:c>
      <x:c r="B55" s="18" t="str">
        <x:v>Observed AI referrer purchases</x:v>
      </x:c>
      <x:c r="C55" s="18" t="str">
        <x:v>D2C</x:v>
      </x:c>
      <x:c r="D55" s="18" t="str">
        <x:v>Revenue</x:v>
      </x:c>
      <x:c r="E55" s="18" t="str">
        <x:v>Orders</x:v>
      </x:c>
      <x:c r="F55" s="18" t="str">
        <x:v>Valid orders with observable allowlisted AI referrer under declared attribution</x:v>
      </x:c>
      <x:c r="G55" s="18" t="str">
        <x:v>NA</x:v>
      </x:c>
      <x:c r="H55" s="18" t="str">
        <x:v>Declared attribution window</x:v>
      </x:c>
      <x:c r="I55" s="18" t="str">
        <x:v>Analytics reconciled ledger</x:v>
      </x:c>
      <x:c r="J55" s="18" t="str">
        <x:v>Monthly</x:v>
      </x:c>
      <x:c r="K55" s="18" t="str">
        <x:v>Discovery owner</x:v>
      </x:c>
      <x:c r="L55" s="18" t="str">
        <x:v>Proposed baseline unavailable</x:v>
      </x:c>
      <x:c r="M55" s="18" t="str">
        <x:v>Undercoverage and missing referrers; not all AI influence</x:v>
      </x:c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</x:row>
    <x:row r="56" ht="58" customHeight="1">
      <x:c r="A56" s="18" t="str">
        <x:v>AI09</x:v>
      </x:c>
      <x:c r="B56" s="18" t="str">
        <x:v>Declared AI discovery share</x:v>
      </x:c>
      <x:c r="C56" s="18" t="str">
        <x:v>D2C</x:v>
      </x:c>
      <x:c r="D56" s="18" t="str">
        <x:v>Awareness</x:v>
      </x:c>
      <x:c r="E56" s="18" t="str">
        <x:v>Percent</x:v>
      </x:c>
      <x:c r="F56" s="18" t="str">
        <x:v>Respondents selecting AI as first discovery</x:v>
      </x:c>
      <x:c r="G56" s="18" t="str">
        <x:v>Valid discovery-survey respondents</x:v>
      </x:c>
      <x:c r="H56" s="18" t="str">
        <x:v>Survey period</x:v>
      </x:c>
      <x:c r="I56" s="18" t="str">
        <x:v>Optional survey aggregate</x:v>
      </x:c>
      <x:c r="J56" s="18" t="str">
        <x:v>Monthly</x:v>
      </x:c>
      <x:c r="K56" s="18" t="str">
        <x:v>Research owner</x:v>
      </x:c>
      <x:c r="L56" s="18" t="str">
        <x:v>Proposed baseline unavailable</x:v>
      </x:c>
      <x:c r="M56" s="18" t="str">
        <x:v>Recall and response bias; not order attribution</x:v>
      </x:c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</x:row>
    <x:row r="57" ht="58" customHeight="1">
      <x:c r="A57" s="18" t="str">
        <x:v>GX01</x:v>
      </x:c>
      <x:c r="B57" s="18" t="str">
        <x:v>Matured return incidence</x:v>
      </x:c>
      <x:c r="C57" s="18" t="str">
        <x:v>D2C</x:v>
      </x:c>
      <x:c r="D57" s="18" t="str">
        <x:v>Retention</x:v>
      </x:c>
      <x:c r="E57" s="18" t="str">
        <x:v>Percent</x:v>
      </x:c>
      <x:c r="F57" s="18" t="str">
        <x:v>Delivered valid orders with return in agreed post-delivery window</x:v>
      </x:c>
      <x:c r="G57" s="18" t="str">
        <x:v>Delivered valid orders observed for full window</x:v>
      </x:c>
      <x:c r="H57" s="18" t="str">
        <x:v>Delivery cohort</x:v>
      </x:c>
      <x:c r="I57" s="18" t="str">
        <x:v>Returns order ledger</x:v>
      </x:c>
      <x:c r="J57" s="18" t="str">
        <x:v>At maturity</x:v>
      </x:c>
      <x:c r="K57" s="18" t="str">
        <x:v>Journey owner</x:v>
      </x:c>
      <x:c r="L57" s="18" t="str">
        <x:v>Proposed baseline unavailable</x:v>
      </x:c>
      <x:c r="M57" s="18" t="str">
        <x:v>Not absence of harm or satisfaction</x:v>
      </x:c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</x:row>
    <x:row r="58" ht="58" customHeight="1">
      <x:c r="A58" s="18" t="str">
        <x:v>GX02</x:v>
      </x:c>
      <x:c r="B58" s="18" t="str">
        <x:v>Complaint incidence</x:v>
      </x:c>
      <x:c r="C58" s="18" t="str">
        <x:v>Both</x:v>
      </x:c>
      <x:c r="D58" s="18" t="str">
        <x:v>Retention</x:v>
      </x:c>
      <x:c r="E58" s="18" t="str">
        <x:v>Percent</x:v>
      </x:c>
      <x:c r="F58" s="18" t="str">
        <x:v>Eligible orders or accounts with recorded complaint</x:v>
      </x:c>
      <x:c r="G58" s="18" t="str">
        <x:v>Eligible matured orders or accounts in same motion</x:v>
      </x:c>
      <x:c r="H58" s="18" t="str">
        <x:v>Declared support window</x:v>
      </x:c>
      <x:c r="I58" s="18" t="str">
        <x:v>Support aggregate ledger</x:v>
      </x:c>
      <x:c r="J58" s="18" t="str">
        <x:v>Monthly</x:v>
      </x:c>
      <x:c r="K58" s="18" t="str">
        <x:v>Journey owner</x:v>
      </x:c>
      <x:c r="L58" s="18" t="str">
        <x:v>Proposed baseline unavailable</x:v>
      </x:c>
      <x:c r="M58" s="18" t="str">
        <x:v>Unknown support coverage; do not blend accounts and orders</x:v>
      </x:c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</x:row>
    <x:row r="59" ht="58" customHeight="1">
      <x:c r="A59" s="18" t="str">
        <x:v>GX03</x:v>
      </x:c>
      <x:c r="B59" s="18" t="str">
        <x:v>Unsubscribe rate</x:v>
      </x:c>
      <x:c r="C59" s="18" t="str">
        <x:v>D2C</x:v>
      </x:c>
      <x:c r="D59" s="18" t="str">
        <x:v>Retention</x:v>
      </x:c>
      <x:c r="E59" s="18" t="str">
        <x:v>Percent</x:v>
      </x:c>
      <x:c r="F59" s="18" t="str">
        <x:v>Unique delivered-message recipients unsubscribing in agreed window</x:v>
      </x:c>
      <x:c r="G59" s="18" t="str">
        <x:v>Delivered eligible recipients</x:v>
      </x:c>
      <x:c r="H59" s="18" t="str">
        <x:v>Campaign window</x:v>
      </x:c>
      <x:c r="I59" s="18" t="str">
        <x:v>CRM aggregate</x:v>
      </x:c>
      <x:c r="J59" s="18" t="str">
        <x:v>Weekly</x:v>
      </x:c>
      <x:c r="K59" s="18" t="str">
        <x:v>CRM owner</x:v>
      </x:c>
      <x:c r="L59" s="18" t="str">
        <x:v>Proposed baseline unavailable</x:v>
      </x:c>
      <x:c r="M59" s="18" t="str">
        <x:v>Delivery denominator; distinguish complaints</x:v>
      </x:c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</x:row>
    <x:row r="60" ht="58" customHeight="1">
      <x:c r="A60" s="18" t="str">
        <x:v>GX04</x:v>
      </x:c>
      <x:c r="B60" s="18" t="str">
        <x:v>Human handoff completion</x:v>
      </x:c>
      <x:c r="C60" s="18" t="str">
        <x:v>D2C</x:v>
      </x:c>
      <x:c r="D60" s="18" t="str">
        <x:v>Activation</x:v>
      </x:c>
      <x:c r="E60" s="18" t="str">
        <x:v>Percent</x:v>
      </x:c>
      <x:c r="F60" s="18" t="str">
        <x:v>Requested handoffs completed under agreed criteria</x:v>
      </x:c>
      <x:c r="G60" s="18" t="str">
        <x:v>Valid requested handoffs</x:v>
      </x:c>
      <x:c r="H60" s="18" t="str">
        <x:v>Support period</x:v>
      </x:c>
      <x:c r="I60" s="18" t="str">
        <x:v>Support aggregate</x:v>
      </x:c>
      <x:c r="J60" s="18" t="str">
        <x:v>Weekly</x:v>
      </x:c>
      <x:c r="K60" s="18" t="str">
        <x:v>Journey owner</x:v>
      </x:c>
      <x:c r="L60" s="18" t="str">
        <x:v>Proposed baseline unavailable</x:v>
      </x:c>
      <x:c r="M60" s="18" t="str">
        <x:v>No voice transcripts in public dataset</x:v>
      </x:c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</x:row>
    <x:row r="61" ht="58" customHeight="1">
      <x:c r="A61" s="18" t="str">
        <x:v>GX05</x:v>
      </x:c>
      <x:c r="B61" s="18" t="str">
        <x:v>Motion accessibility task success</x:v>
      </x:c>
      <x:c r="C61" s="18" t="str">
        <x:v>D2C</x:v>
      </x:c>
      <x:c r="D61" s="18" t="str">
        <x:v>Activation</x:v>
      </x:c>
      <x:c r="E61" s="18" t="str">
        <x:v>Percent</x:v>
      </x:c>
      <x:c r="F61" s="18" t="str">
        <x:v>Participants completing core task with keyboard or reduced motion</x:v>
      </x:c>
      <x:c r="G61" s="18" t="str">
        <x:v>Participants tested in matching mode</x:v>
      </x:c>
      <x:c r="H61" s="18" t="str">
        <x:v>User-test session</x:v>
      </x:c>
      <x:c r="I61" s="18" t="str">
        <x:v>Consented task study</x:v>
      </x:c>
      <x:c r="J61" s="18" t="str">
        <x:v>Per iteration</x:v>
      </x:c>
      <x:c r="K61" s="18" t="str">
        <x:v>Journey owner</x:v>
      </x:c>
      <x:c r="L61" s="18" t="str">
        <x:v>Proposed baseline unavailable</x:v>
      </x:c>
      <x:c r="M61" s="18" t="str">
        <x:v>Small test sample; pair with issue severity</x:v>
      </x:c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</x:row>
    <x:row r="62" ht="58" customHeight="1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</x:row>
    <x:row r="63" ht="58" customHeight="1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</x:row>
    <x:row r="64" ht="58" customHeight="1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</x:row>
    <x:row r="65" ht="58" customHeight="1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</x:row>
  </x:sheetData>
  <x:pageMargins left="0.7" right="0.7" top="0.75" bottom="0.75" header="0.3" footer="0.3"/>
  <x:tableParts count="1">
    <x:tablePart xmlns:r="http://schemas.openxmlformats.org/officeDocument/2006/relationships" r:id="R72dccd14b2a747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 ht="23" customHeight="1">
      <x:c r="A2" s="2" t="str">
        <x:v>Use and definitions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 ht="23" customHeight="1">
      <x:c r="A3" s="3" t="str">
        <x:v>Independent student advisory work. No client actuals are included.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</x:row>
    <x:row r="5" ht="45" customHeight="1">
      <x:c r="A5" s="1" t="str">
        <x:v>Inputs</x:v>
      </x:c>
      <x:c r="B5" s="18" t="str">
        <x:v>Blue cells are editable. Formula cells are dark. Enter amounts in GBP ex VAT; convert currencies upstream with documented rates.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</x:row>
    <x:row r="6" ht="45" customHeight="1">
      <x:c r="A6" s="1" t="str">
        <x:v>Capacity</x:v>
      </x:c>
      <x:c r="B6" s="18" t="str">
        <x:v>Each database has 60 entry rows, rows 6–65. Extend formulas, validation, tables and dashboard ranges together before adding more.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</x:row>
    <x:row r="7" ht="45" customHeight="1">
      <x:c r="A7" s="1" t="str">
        <x:v>Missing data</x:v>
      </x:c>
      <x:c r="B7" s="18" t="str">
        <x:v>Blank means not supplied. Zero means observed zero. n.a. means denominator zero, non-applicable, or immature. Read row status.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</x:row>
    <x:row r="8" ht="45" customHeight="1">
      <x:c r="A8" s="1" t="str">
        <x:v>Monthly grain</x:v>
      </x:c>
      <x:c r="B8" s="18" t="str">
        <x:v>One complete calendar month × motion × mutually exclusive acquisition channel. Use a fixed first-acquisition assignment for all customers.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</x:row>
    <x:row r="9" ht="45" customHeight="1">
      <x:c r="A9" s="1" t="str">
        <x:v>Spend scope</x:v>
      </x:c>
      <x:c r="B9" s="18" t="str">
        <x:v>Include paid media, acquisition agencies, allocated acquisition salaries and prospecting. Document allocation in Source / extract. Never repeat shared spend across channels.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</x:row>
    <x:row r="10" ht="45" customHeight="1">
      <x:c r="A10" s="1" t="str">
        <x:v>Customer counts</x:v>
      </x:c>
      <x:c r="B10" s="18" t="str">
        <x:v>New plus returning equals active unique purchasers per row. Customers must appear in one acquisition channel only. Sum across channels only after deduplication.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</x:row>
    <x:row r="11" ht="45" customHeight="1">
      <x:c r="A11" s="1" t="str">
        <x:v>Attribution</x:v>
      </x:c>
      <x:c r="B11" s="18" t="str">
        <x:v>Attributed CAC divides channel acquisition spend by new customers assigned to that channel under one declared attribution rule. It is not causal incrementality.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</x:row>
    <x:row r="12" ht="45" customHeight="1">
      <x:c r="A12" s="1" t="str">
        <x:v>Contribution</x:v>
      </x:c>
      <x:c r="B12" s="18" t="str">
        <x:v>Net merchandise sales after discounts/refunds plus retained shipping less COGS, fulfilment, freight, fees, commission and variable service. Not net profit.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</x:row>
    <x:row r="13" ht="45" customHeight="1">
      <x:c r="A13" s="1" t="str">
        <x:v>Cohort grain</x:v>
      </x:c>
      <x:c r="B13" s="18" t="str">
        <x:v>One acquisition-month cohort (date = last acquisition day) × motion × channel × horizon. Aggregate customer-level day 0 through day h-1 transactions upstream.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</x:row>
    <x:row r="14" ht="45" customHeight="1">
      <x:c r="A14" s="1" t="str">
        <x:v>Maturity</x:v>
      </x:c>
      <x:c r="B14" s="18" t="str">
        <x:v>As-of date minus cohort end must be at least horizon days. Retain one current snapshot per cohort/channel/horizon; replace earlier snapshots.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</x:row>
    <x:row r="15" ht="45" customHeight="1">
      <x:c r="A15" s="1" t="str">
        <x:v>LTV aggregation</x:v>
      </x:c>
      <x:c r="B15" s="18" t="str">
        <x:v>Weighted by acquired customers across ready mature rows for the selected motion/horizon. Different horizons never sum together. Dashboard does not align cohorts with reporting-month CAC.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</x:row>
    <x:row r="16" ht="45" customHeight="1">
      <x:c r="A16" s="1" t="str">
        <x:v>Retention</x:v>
      </x:c>
      <x:c r="B16" s="18" t="str">
        <x:v>Cohort repurchase = acquired customers with a second valid paid order within the horizon / acquired customers. Returning mix uses calendar-period buyers, a different denominator.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</x:row>
    <x:row r="17" ht="45" customHeight="1">
      <x:c r="A17" s="1" t="str">
        <x:v>Ritual data</x:v>
      </x:c>
      <x:c r="B17" s="18" t="str">
        <x:v>Self-reported practice in the last 7 days and multiple rituals remain survey measures, never purchases or inferred cultural identity. Record exact instrument and consent basis.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</x:row>
    <x:row r="18" ht="45" customHeight="1">
      <x:c r="A18" s="1" t="str">
        <x:v>Discovery</x:v>
      </x:c>
      <x:c r="B18" s="18" t="str">
        <x:v>Keep panel version, engine, locale and query slice stable. AI answer observations are not market share, traffic or revenue. Failed runs excluded with reasons in source evidence.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</x:row>
    <x:row r="19" ht="45" customHeight="1">
      <x:c r="A19" s="1" t="str">
        <x:v>Publication</x:v>
      </x:c>
      <x:c r="B19" s="18" t="str">
        <x:v>Store aggregate non-personal data only. Public files require disclosure permission. Source record should identify export date, owner and reconciliation evidence.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</x:row>
    <x:row r="20" ht="45" customHeight="1">
      <x:c r="A20" s="1" t="str">
        <x:v>Cohort CAC</x:v>
      </x:c>
      <x:c r="B20" s="18" t="str">
        <x:v>Optional cohort acquisition spend in Cohort LTV column U must match the same cohort, channel and spend policy. Repeat the same spend across horizon rows; never sum it across horizons. V and W calculate matched CAC and LTV:CAC.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</x:row>
    <x:row r="21" ht="45" customHeight="1">
      <x:c r="A21" s="1"/>
      <x:c r="B21" s="18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</x:row>
    <x:row r="22" ht="45" customHeight="1">
      <x:c r="A22" s="1"/>
      <x:c r="B22" s="18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</x:row>
    <x:row r="23" ht="45" customHeight="1">
      <x:c r="A23" s="1"/>
      <x:c r="B23" s="18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</x:row>
    <x:row r="24" ht="45" customHeight="1">
      <x:c r="A24" s="1"/>
      <x:c r="B24" s="18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</x:row>
  </x:sheetData>
  <x:pageMargins left="0.7" right="0.7" top="0.75" bottom="0.75" header="0.3" footer="0.3"/>
</x:worksheet>
</file>