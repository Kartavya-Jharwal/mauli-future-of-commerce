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0f3f842f144c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0cc7d576a2640c9"/>
    <x:sheet xmlns:r="http://schemas.openxmlformats.org/officeDocument/2006/relationships" name="Assumptions" sheetId="2" r:id="R78cba6f945f841fe"/>
    <x:sheet xmlns:r="http://schemas.openxmlformats.org/officeDocument/2006/relationships" name="Forecast" sheetId="3" r:id="R18cd3e73a9764a39"/>
    <x:sheet xmlns:r="http://schemas.openxmlformats.org/officeDocument/2006/relationships" name="Actual inputs" sheetId="4" r:id="R891c27ba00574512"/>
    <x:sheet xmlns:r="http://schemas.openxmlformats.org/officeDocument/2006/relationships" name="Review" sheetId="5" r:id="R7a0b992c28cc46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;(#,##0);&quot;-&quot;"/>
    <x:numFmt numFmtId="201" formatCode="0.00x"/>
    <x:numFmt numFmtId="202" formatCode="mmm-yy"/>
    <x:numFmt numFmtId="203" formatCode="0.0%;(0.0%);&quot;-&quot;"/>
    <x:numFmt numFmtId="204" formatCode="&quot;£&quot;#,##0;(&quot;£&quot;#,##0);&quot;-&quot;"/>
    <x:numFmt numFmtId="205" formatCode="0.0"/>
    <x:numFmt numFmtId="206" formatCode="0.00;(0.00);0.00"/>
  </x:numFmts>
  <x:fonts count="12">
    <x:font>
      <x:sz val="11"/>
      <x:name val="Carlito"/>
    </x:font>
    <x:font>
      <x:sz val="10"/>
      <x:color rgb="FF202820"/>
      <x:name val="Arial"/>
    </x:font>
    <x:font>
      <x:b/>
      <x:sz val="16"/>
      <x:color rgb="FF202820"/>
      <x:name val="Arial"/>
    </x:font>
    <x:font>
      <x:sz val="10"/>
      <x:color rgb="FF0000FF"/>
      <x:name val="Arial"/>
    </x:font>
    <x:font>
      <x:sz val="10"/>
      <x:color rgb="FF000000"/>
      <x:name val="Arial"/>
    </x:font>
    <x:font>
      <x:b/>
      <x:sz val="10"/>
      <x:color rgb="FFFFFFFF"/>
      <x:name val="Arial"/>
    </x:font>
    <x:font>
      <x:sz val="10"/>
      <x:color rgb="FF008040"/>
      <x:name val="Arial"/>
    </x:font>
    <x:font>
      <x:b/>
      <x:sz val="10"/>
      <x:color rgb="FF202820"/>
      <x:name val="Arial"/>
    </x:font>
    <x:font>
      <x:b/>
      <x:sz val="10"/>
      <x:color rgb="FF000000"/>
      <x:name val="Arial"/>
    </x:font>
    <x:font>
      <x:b/>
      <x:sz val="10"/>
      <x:color rgb="FF008040"/>
      <x:name val="Arial"/>
    </x:font>
    <x:font>
      <x:i/>
      <x:sz val="10"/>
      <x:color rgb="FF202820"/>
      <x:name val="Arial"/>
    </x:font>
    <x:font>
      <x:i/>
      <x:sz val="10"/>
      <x:color rgb="FF00804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1CC"/>
      </x:patternFill>
    </x:fill>
    <x:fill>
      <x:patternFill patternType="solid">
        <x:fgColor rgb="FF283A32"/>
      </x:patternFill>
    </x:fill>
    <x:fill>
      <x:patternFill patternType="solid">
        <x:fgColor rgb="FFE9EEE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283A32"/>
      </x:bottom>
      <x:diagonal/>
    </x:border>
  </x:borders>
  <x:cellStyleXfs count="1">
    <x:xf numFmtId="0" fontId="0" fillId="0" borderId="0"/>
  </x:cellStyleXfs>
  <x:cellXfs count="8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3" fillId="2" borderId="0" xfId="0" applyNumberFormat="1" applyFont="1" applyFill="1" applyBorder="1"/>
    <x:xf numFmtId="201" fontId="3" fillId="2" borderId="0" xfId="0" applyNumberFormat="1" applyFont="1" applyFill="1" applyBorder="1"/>
    <x:xf numFmtId="202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3" fontId="3" fillId="2" borderId="0" xfId="0" applyNumberFormat="1" applyFont="1" applyFill="1" applyBorder="1"/>
    <x:xf numFmtId="203" fontId="6" fillId="0" borderId="0" xfId="0" applyNumberFormat="1" applyFont="1" applyFill="1" applyBorder="1"/>
    <x:xf numFmtId="204" fontId="3" fillId="2" borderId="0" xfId="0" applyNumberFormat="1" applyFont="1" applyFill="1" applyBorder="1"/>
    <x:xf numFmtId="204" fontId="6" fillId="0" borderId="0" xfId="0" applyNumberFormat="1" applyFont="1" applyFill="1" applyBorder="1"/>
    <x:xf numFmtId="205" fontId="3" fillId="2" borderId="0" xfId="0" applyNumberFormat="1" applyFont="1" applyFill="1" applyBorder="1"/>
    <x:xf numFmtId="205" fontId="6" fillId="0" borderId="0" xfId="0" applyNumberFormat="1" applyFont="1" applyFill="1" applyBorder="1"/>
    <x:xf numFmtId="200" fontId="4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4" borderId="0" xfId="0" applyNumberFormat="1" applyFont="1" applyFill="1" applyBorder="1"/>
    <x:xf numFmtId="200" fontId="4" fillId="4" borderId="0" xfId="0" applyNumberFormat="1" applyFont="1" applyFill="1" applyBorder="1"/>
    <x:xf numFmtId="0" fontId="7" fillId="4" borderId="0" xfId="0" applyNumberFormat="1" applyFont="1" applyFill="1" applyBorder="1"/>
    <x:xf numFmtId="200" fontId="8" fillId="4" borderId="0" xfId="0" applyNumberFormat="1" applyFont="1" applyFill="1" applyBorder="1"/>
    <x:xf numFmtId="200" fontId="1" fillId="2" borderId="0" xfId="0" applyNumberFormat="1" applyFont="1" applyFill="1" applyBorder="1"/>
    <x:xf numFmtId="203" fontId="4" fillId="0" borderId="0" xfId="0" applyNumberFormat="1" applyFont="1" applyFill="1" applyBorder="1"/>
    <x:xf numFmtId="203" fontId="1" fillId="0" borderId="0" xfId="0" applyNumberFormat="1" applyFont="1" applyFill="1" applyBorder="1"/>
    <x:xf numFmtId="203" fontId="4" fillId="4" borderId="0" xfId="0" applyNumberFormat="1" applyFont="1" applyFill="1" applyBorder="1"/>
    <x:xf numFmtId="203" fontId="8" fillId="4" borderId="0" xfId="0" applyNumberFormat="1" applyFont="1" applyFill="1" applyBorder="1"/>
    <x:xf numFmtId="203" fontId="1" fillId="2" borderId="0" xfId="0" applyNumberFormat="1" applyFont="1" applyFill="1" applyBorder="1"/>
    <x:xf numFmtId="204" fontId="4" fillId="0" borderId="0" xfId="0" applyNumberFormat="1" applyFont="1" applyFill="1" applyBorder="1"/>
    <x:xf numFmtId="204" fontId="1" fillId="0" borderId="0" xfId="0" applyNumberFormat="1" applyFont="1" applyFill="1" applyBorder="1"/>
    <x:xf numFmtId="204" fontId="4" fillId="4" borderId="0" xfId="0" applyNumberFormat="1" applyFont="1" applyFill="1" applyBorder="1"/>
    <x:xf numFmtId="204" fontId="8" fillId="4" borderId="0" xfId="0" applyNumberFormat="1" applyFont="1" applyFill="1" applyBorder="1"/>
    <x:xf numFmtId="204" fontId="1" fillId="2" borderId="0" xfId="0" applyNumberFormat="1" applyFont="1" applyFill="1" applyBorder="1"/>
    <x:xf numFmtId="202" fontId="6" fillId="0" borderId="0" xfId="0" applyNumberFormat="1" applyFont="1" applyFill="1" applyBorder="1"/>
    <x:xf numFmtId="0" fontId="9" fillId="4" borderId="0" xfId="0" applyNumberFormat="1" applyFont="1" applyFill="1" applyBorder="1"/>
    <x:xf numFmtId="200" fontId="9" fillId="4" borderId="0" xfId="0" applyNumberFormat="1" applyFont="1" applyFill="1" applyBorder="1"/>
    <x:xf numFmtId="200" fontId="5" fillId="3" borderId="0" xfId="0" applyNumberFormat="1" applyFont="1" applyFill="1" applyBorder="1"/>
    <x:xf numFmtId="0" fontId="10" fillId="0" borderId="0" xfId="0" applyNumberFormat="1" applyFont="1" applyFill="1" applyBorder="1"/>
    <x:xf numFmtId="203" fontId="11" fillId="0" borderId="0" xfId="0" applyNumberFormat="1" applyFont="1" applyFill="1" applyBorder="1"/>
    <x:xf numFmtId="204" fontId="9" fillId="4" borderId="0" xfId="0" applyNumberFormat="1" applyFont="1" applyFill="1" applyBorder="1"/>
    <x:xf numFmtId="204" fontId="1" fillId="4" borderId="0" xfId="0" applyNumberFormat="1" applyFont="1" applyFill="1" applyBorder="1"/>
    <x:xf numFmtId="204" fontId="7" fillId="4" borderId="0" xfId="0" applyNumberFormat="1" applyFont="1" applyFill="1" applyBorder="1"/>
    <x:xf numFmtId="0" fontId="6" fillId="4" borderId="0" xfId="0" applyNumberFormat="1" applyFont="1" applyFill="1" applyBorder="1"/>
    <x:xf numFmtId="206" fontId="6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204" fontId="1" fillId="0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204" fontId="7" fillId="4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2" fontId="3" fillId="2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203" fontId="3" fillId="2" borderId="0" xfId="0" applyNumberFormat="1" applyFont="1" applyFill="1" applyBorder="1" applyAlignment="1">
      <x:alignment vertical="center"/>
    </x:xf>
    <x:xf numFmtId="204" fontId="6" fillId="0" borderId="0" xfId="0" applyNumberFormat="1" applyFont="1" applyFill="1" applyBorder="1" applyAlignment="1">
      <x:alignment vertical="center"/>
    </x:xf>
    <x:xf numFmtId="204" fontId="3" fillId="2" borderId="0" xfId="0" applyNumberFormat="1" applyFont="1" applyFill="1" applyBorder="1" applyAlignment="1">
      <x:alignment vertical="center"/>
    </x:xf>
    <x:xf numFmtId="205" fontId="6" fillId="0" borderId="0" xfId="0" applyNumberFormat="1" applyFont="1" applyFill="1" applyBorder="1" applyAlignment="1">
      <x:alignment vertical="center"/>
    </x:xf>
    <x:xf numFmtId="205" fontId="3" fillId="2" borderId="0" xfId="0" applyNumberFormat="1" applyFont="1" applyFill="1" applyBorder="1" applyAlignment="1">
      <x:alignment vertical="center"/>
    </x:xf>
    <x:xf numFmtId="200" fontId="8" fillId="4" borderId="0" xfId="0" applyNumberFormat="1" applyFont="1" applyFill="1" applyBorder="1" applyAlignment="1">
      <x:alignment vertical="center"/>
    </x:xf>
    <x:xf numFmtId="203" fontId="8" fillId="4" borderId="0" xfId="0" applyNumberFormat="1" applyFont="1" applyFill="1" applyBorder="1" applyAlignment="1">
      <x:alignment vertical="center"/>
    </x:xf>
    <x:xf numFmtId="204" fontId="8" fillId="4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4" fontId="9" fillId="4" borderId="0" xfId="0" applyNumberFormat="1" applyFont="1" applyFill="1" applyBorder="1" applyAlignment="1">
      <x:alignment vertical="center"/>
    </x:xf>
    <x:xf numFmtId="200" fontId="9" fillId="4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203" fontId="1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6" fontId="6" fillId="0" borderId="0" xfId="0" applyNumberFormat="1" applyFont="1" applyFill="1" applyBorder="1" applyAlignment="1">
      <x:alignment vertical="center"/>
    </x:xf>
    <x:xf numFmtId="204" fontId="6" fillId="4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3" fontId="1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A00000"/>
      </x:font>
      <x:fill>
        <x:patternFill patternType="solid">
          <x:bgColor rgb="FFFCE3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e239f8fd294659" /><Relationship Type="http://schemas.openxmlformats.org/officeDocument/2006/relationships/theme" Target="/xl/theme/theme1.xml" Id="Rd475230596d648f7" /><Relationship Type="http://schemas.openxmlformats.org/officeDocument/2006/relationships/sharedStrings" Target="/xl/sharedStrings.xml" Id="R3ff52de3f6844582" /><Relationship Type="http://schemas.openxmlformats.org/officeDocument/2006/relationships/worksheet" Target="/xl/worksheets/sheet1.xml" Id="R20cc7d576a2640c9" /><Relationship Type="http://schemas.openxmlformats.org/officeDocument/2006/relationships/worksheet" Target="/xl/worksheets/sheet2.xml" Id="R78cba6f945f841fe" /><Relationship Type="http://schemas.openxmlformats.org/officeDocument/2006/relationships/worksheet" Target="/xl/worksheets/sheet3.xml" Id="R18cd3e73a9764a39" /><Relationship Type="http://schemas.openxmlformats.org/officeDocument/2006/relationships/worksheet" Target="/xl/worksheets/sheet4.xml" Id="R891c27ba00574512" /><Relationship Type="http://schemas.openxmlformats.org/officeDocument/2006/relationships/worksheet" Target="/xl/worksheets/sheet5.xml" Id="R7a0b992c28cc463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ad378316cc44e5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and cumulative incremental cash (£)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Baseline net sales</c:v>
          </c:tx>
          <c:marker>
            <c:symbol val="none"/>
          </c:marker>
          <c:cat>
            <c:strRef>
              <c:f>'Summary'!$C$28:$C$51</c:f>
              <c:strCache>
                <c:ptCount val="0"/>
              </c:strCache>
            </c:strRef>
          </c:cat>
          <c:val>
            <c:numRef>
              <c:f>'Summary'!$D$28:$D$51</c:f>
              <c:numCache>
                <c:formatCode>"£"#,##0;("£"#,##0);"-"</c:formatCode>
                <c:ptCount val="0"/>
              </c:numCache>
            </c:numRef>
          </c:val>
          <c:smooth val="0"/>
        </c:ser>
        <c:ser>
          <c:idx val="1"/>
          <c:order val="1"/>
          <c:tx>
            <c:v>With net sales</c:v>
          </c:tx>
          <c:marker>
            <c:symbol val="none"/>
          </c:marker>
          <c:cat>
            <c:strRef>
              <c:f>'Summary'!$C$28:$C$51</c:f>
              <c:strCache>
                <c:ptCount val="0"/>
              </c:strCache>
            </c:strRef>
          </c:cat>
          <c:val>
            <c:numRef>
              <c:f>'Summary'!$E$28:$E$51</c:f>
              <c:numCache>
                <c:formatCode>"£"#,##0;("£"#,##0);"-"</c:formatCode>
                <c:ptCount val="0"/>
              </c:numCache>
            </c:numRef>
          </c:val>
          <c:smooth val="0"/>
        </c:ser>
        <c:ser>
          <c:idx val="2"/>
          <c:order val="2"/>
          <c:tx>
            <c:v>Cumulative cash</c:v>
          </c:tx>
          <c:marker>
            <c:symbol val="none"/>
          </c:marker>
          <c:cat>
            <c:strRef>
              <c:f>'Summary'!$C$28:$C$51</c:f>
              <c:strCache>
                <c:ptCount val="0"/>
              </c:strCache>
            </c:strRef>
          </c:cat>
          <c:val>
            <c:numRef>
              <c:f>'Summary'!$F$28:$F$51</c:f>
              <c:numCache>
                <c:formatCode>"£"#,##0;("£"#,##0);"-"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26</xdr:row>
      <xdr:rowOff>0</xdr:rowOff>
    </xdr:from>
    <xdr:to>
      <xdr:col>16</xdr:col>
      <xdr:colOff>0</xdr:colOff>
      <xdr:row>45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d378316cc44e5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49866d57a9d4f06" /></Relationships>
</file>

<file path=xl/worksheets/sheet1.xml><?xml version="1.0" encoding="utf-8"?>
<x:worksheet xmlns:x="http://schemas.openxmlformats.org/spreadsheetml/2006/main">
  <x:sheetPr>
    <x:tabColor rgb="FF283A32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55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</x:cols>
  <x:sheetData>
    <x:row r="1" ht="21" customHeight="1">
      <x:c r="A1" s="50"/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</x:row>
    <x:row r="2" ht="21" customHeight="1">
      <x:c r="A2" s="50"/>
      <x:c r="B2" s="50"/>
      <x:c r="C2" s="51" t="str">
        <x:v>Mauli | Incremental investment case</x:v>
      </x:c>
      <x:c r="D2" s="50"/>
      <x:c r="E2" s="50"/>
      <x:c r="F2" s="50"/>
      <x:c r="G2" s="50"/>
      <x:c r="H2" s="50"/>
      <x:c r="I2" s="50"/>
      <x:c r="J2" s="50"/>
      <x:c r="K2" s="50"/>
      <x:c r="L2" s="50"/>
    </x:row>
    <x:row r="3" ht="21" customHeight="1">
      <x:c r="A3" s="50"/>
      <x:c r="B3" s="50"/>
      <x:c r="C3" s="52"/>
      <x:c r="D3" s="52"/>
      <x:c r="E3" s="52"/>
      <x:c r="F3" s="52"/>
      <x:c r="G3" s="52"/>
      <x:c r="H3" s="52"/>
      <x:c r="I3" s="52"/>
      <x:c r="J3" s="52"/>
      <x:c r="K3" s="52"/>
      <x:c r="L3" s="52"/>
    </x:row>
    <x:row r="4" ht="21" customHeight="1">
      <x:c r="A4" s="50"/>
      <x:c r="B4" s="50"/>
      <x:c r="C4" s="50" t="str">
        <x:v>Illustrative demo — replace inputs before client decisions.</x:v>
      </x:c>
      <x:c r="D4" s="50"/>
      <x:c r="E4" s="50"/>
      <x:c r="F4" s="50"/>
      <x:c r="G4" s="50"/>
      <x:c r="H4" s="50"/>
      <x:c r="I4" s="50"/>
      <x:c r="J4" s="50"/>
      <x:c r="K4" s="50"/>
      <x:c r="L4" s="50"/>
    </x:row>
    <x:row r="5" ht="21" customHeight="1">
      <x:c r="A5" s="50"/>
      <x:c r="B5" s="50"/>
      <x:c r="C5" s="50" t="str">
        <x:v>Case selected:</x:v>
      </x:c>
      <x:c r="D5" s="53" t="str">
        <x:f>'Assumptions'!D10</x:f>
        <x:v>Base</x:v>
      </x:c>
      <x:c r="E5" s="50"/>
      <x:c r="F5" s="50" t="str">
        <x:f>IF('Assumptions'!D8=1,"DEMO: fictional inputs","CLIENT INPUT MODE")</x:f>
        <x:v>DEMO: fictional inputs</x:v>
      </x:c>
      <x:c r="G5" s="50"/>
      <x:c r="H5" s="50"/>
      <x:c r="I5" s="50"/>
      <x:c r="J5" s="50"/>
      <x:c r="K5" s="50"/>
      <x:c r="L5" s="50"/>
    </x:row>
    <x:row r="6" ht="21" customHeight="1">
      <x:c r="A6" s="50"/>
      <x:c r="B6" s="50"/>
      <x:c r="C6" s="50"/>
      <x:c r="D6" s="50"/>
      <x:c r="E6" s="50"/>
      <x:c r="F6" s="50"/>
      <x:c r="G6" s="50"/>
      <x:c r="H6" s="50"/>
      <x:c r="I6" s="50"/>
      <x:c r="J6" s="50"/>
      <x:c r="K6" s="50"/>
      <x:c r="L6" s="50"/>
    </x:row>
    <x:row r="7" ht="21" customHeight="1">
      <x:c r="A7" s="50"/>
      <x:c r="B7" s="50"/>
      <x:c r="C7" s="54" t="str">
        <x:v>24-month decision view</x:v>
      </x:c>
      <x:c r="D7" s="54" t="str">
        <x:v>Without</x:v>
      </x:c>
      <x:c r="E7" s="54" t="str">
        <x:v>With</x:v>
      </x:c>
      <x:c r="F7" s="54" t="str">
        <x:v>Incremental</x:v>
      </x:c>
      <x:c r="G7" s="50"/>
      <x:c r="H7" s="50"/>
      <x:c r="I7" s="50"/>
      <x:c r="J7" s="50"/>
      <x:c r="K7" s="50"/>
      <x:c r="L7" s="50"/>
    </x:row>
    <x:row r="8" ht="21" customHeight="1">
      <x:c r="A8" s="50"/>
      <x:c r="B8" s="50"/>
      <x:c r="C8" s="50" t="str">
        <x:v>Net sales</x:v>
      </x:c>
      <x:c r="D8" s="55" t="n">
        <x:f>IF('Assumptions'!D7="Ready",SUM('Forecast'!D21:AA21),"Not supplied")</x:f>
        <x:v>691832.3652525913</x:v>
      </x:c>
      <x:c r="E8" s="55" t="n">
        <x:f>IF('Assumptions'!D7="Ready",SUM('Forecast'!D49:AA49),"Not supplied")</x:f>
        <x:v>744568.5655270164</x:v>
      </x:c>
      <x:c r="F8" s="55" t="n">
        <x:f>IF(ISNUMBER(E8),E8-D8,"Not supplied")</x:f>
        <x:v>52736.20027442509</x:v>
      </x:c>
      <x:c r="G8" s="50"/>
      <x:c r="H8" s="50"/>
      <x:c r="I8" s="50"/>
      <x:c r="J8" s="50"/>
      <x:c r="K8" s="50"/>
      <x:c r="L8" s="50"/>
    </x:row>
    <x:row r="9" ht="21" customHeight="1">
      <x:c r="A9" s="50"/>
      <x:c r="B9" s="50"/>
      <x:c r="C9" s="50" t="str">
        <x:v>Contribution before acquisition</x:v>
      </x:c>
      <x:c r="D9" s="55" t="n">
        <x:f>IF('Assumptions'!D7="Ready",SUM('Forecast'!D27:AA27),"Not supplied")</x:f>
        <x:v>384590.5861616542</x:v>
      </x:c>
      <x:c r="E9" s="55" t="n">
        <x:f>IF('Assumptions'!D7="Ready",SUM('Forecast'!D55:AA55),"Not supplied")</x:f>
        <x:v>414604.5073313136</x:v>
      </x:c>
      <x:c r="F9" s="55" t="n">
        <x:f>IF(ISNUMBER(E9),E9-D9,"Not supplied")</x:f>
        <x:v>30013.921169659414</x:v>
      </x:c>
      <x:c r="G9" s="50"/>
      <x:c r="H9" s="50"/>
      <x:c r="I9" s="50"/>
      <x:c r="J9" s="50"/>
      <x:c r="K9" s="50"/>
      <x:c r="L9" s="50"/>
    </x:row>
    <x:row r="10" ht="21" customHeight="1">
      <x:c r="A10" s="50"/>
      <x:c r="B10" s="50"/>
      <x:c r="C10" s="50" t="str">
        <x:v>Operating contribution before setup</x:v>
      </x:c>
      <x:c r="D10" s="55" t="n">
        <x:f>IF('Assumptions'!D7="Ready",SUM('Forecast'!D30:AA30),"Not supplied")</x:f>
        <x:v>192590.5861616543</x:v>
      </x:c>
      <x:c r="E10" s="55" t="n">
        <x:f>IF('Assumptions'!D7="Ready",SUM('Forecast'!D61:AA61),"Not supplied")</x:f>
        <x:v>192904.50733131368</x:v>
      </x:c>
      <x:c r="F10" s="55" t="n">
        <x:f>IF(ISNUMBER(E10),E10-D10,"Not supplied")</x:f>
        <x:v>313.92116965938476</x:v>
      </x:c>
      <x:c r="G10" s="50"/>
      <x:c r="H10" s="50"/>
      <x:c r="I10" s="50"/>
      <x:c r="J10" s="50"/>
      <x:c r="K10" s="50"/>
      <x:c r="L10" s="50"/>
    </x:row>
    <x:row r="11" ht="21" customHeight="1">
      <x:c r="A11" s="50"/>
      <x:c r="B11" s="50"/>
      <x:c r="C11" s="50" t="str">
        <x:v>One-off setup</x:v>
      </x:c>
      <x:c r="D11" s="55" t="n">
        <x:f>0</x:f>
        <x:v>0</x:v>
      </x:c>
      <x:c r="E11" s="55" t="n">
        <x:f>IF('Assumptions'!D7="Ready",SUM('Forecast'!D67:AA67),"Not supplied")</x:f>
        <x:v>5400</x:v>
      </x:c>
      <x:c r="F11" s="55" t="n">
        <x:f>IF(ISNUMBER(E11),E11-D11,"Not supplied")</x:f>
        <x:v>5400</x:v>
      </x:c>
      <x:c r="G11" s="50"/>
      <x:c r="H11" s="50"/>
      <x:c r="I11" s="50"/>
      <x:c r="J11" s="50"/>
      <x:c r="K11" s="50"/>
      <x:c r="L11" s="50"/>
    </x:row>
    <x:row r="12" ht="21" customHeight="1">
      <x:c r="A12" s="50"/>
      <x:c r="B12" s="50"/>
      <x:c r="C12" s="56" t="str">
        <x:v>Operating contribution after setup</x:v>
      </x:c>
      <x:c r="D12" s="57" t="n">
        <x:f>IF('Assumptions'!D7="Ready",SUM('Forecast'!D30:AA30),"Not supplied")</x:f>
        <x:v>192590.5861616543</x:v>
      </x:c>
      <x:c r="E12" s="57" t="n">
        <x:f>IF(ISNUMBER(E10),E10-E11,"Not supplied")</x:f>
        <x:v>187504.50733131368</x:v>
      </x:c>
      <x:c r="F12" s="57" t="n">
        <x:f>IF(ISNUMBER(E12),E12-D12,"Not supplied")</x:f>
        <x:v>-5086.078830340615</x:v>
      </x:c>
      <x:c r="G12" s="50"/>
      <x:c r="H12" s="50"/>
      <x:c r="I12" s="50"/>
      <x:c r="J12" s="50"/>
      <x:c r="K12" s="50"/>
      <x:c r="L12" s="50"/>
    </x:row>
    <x:row r="13" ht="21" customHeight="1">
      <x:c r="A13" s="50"/>
      <x:c r="B13" s="50"/>
      <x:c r="C13" s="50"/>
      <x:c r="D13" s="50"/>
      <x:c r="E13" s="50"/>
      <x:c r="F13" s="50"/>
      <x:c r="G13" s="50"/>
      <x:c r="H13" s="50"/>
      <x:c r="I13" s="50"/>
      <x:c r="J13" s="50"/>
      <x:c r="K13" s="50"/>
      <x:c r="L13" s="50"/>
    </x:row>
    <x:row r="14" ht="21" customHeight="1">
      <x:c r="A14" s="50"/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</x:row>
    <x:row r="15" ht="21" customHeight="1">
      <x:c r="A15" s="50"/>
      <x:c r="B15" s="50"/>
      <x:c r="C15" s="50" t="str">
        <x:v>Incremental operating cash, 24 months</x:v>
      </x:c>
      <x:c r="D15" s="55" t="n">
        <x:f>'Forecast'!AA72</x:f>
        <x:v>-5958.7367481773645</x:v>
      </x:c>
      <x:c r="E15" s="50"/>
      <x:c r="F15" s="50" t="str">
        <x:v>Pre-tax operating cash proxy; no terminal value.</x:v>
      </x:c>
      <x:c r="G15" s="50"/>
      <x:c r="H15" s="50"/>
      <x:c r="I15" s="50"/>
      <x:c r="J15" s="50"/>
      <x:c r="K15" s="50"/>
      <x:c r="L15" s="50"/>
    </x:row>
    <x:row r="16" ht="21" customHeight="1">
      <x:c r="A16" s="50"/>
      <x:c r="B16" s="50"/>
      <x:c r="C16" s="50" t="str">
        <x:v>Peak incremental funding required</x:v>
      </x:c>
      <x:c r="D16" s="55" t="n">
        <x:f>IF(ISNUMBER('Forecast'!AA72),MAX(0,-MIN('Forecast'!D72:AA72)),"Not supplied")</x:f>
        <x:v>9237.372353938776</x:v>
      </x:c>
      <x:c r="E16" s="50"/>
      <x:c r="F16" s="50" t="str">
        <x:v>Largest cumulative cash deficit, starting at zero.</x:v>
      </x:c>
      <x:c r="G16" s="50"/>
      <x:c r="H16" s="50"/>
      <x:c r="I16" s="50"/>
      <x:c r="J16" s="50"/>
      <x:c r="K16" s="50"/>
      <x:c r="L16" s="50"/>
    </x:row>
    <x:row r="17" ht="21" customHeight="1">
      <x:c r="A17" s="50"/>
      <x:c r="B17" s="50"/>
      <x:c r="C17" s="50" t="str">
        <x:v>NPV of incremental cash</x:v>
      </x:c>
      <x:c r="D17" s="55" t="n">
        <x:f>IF(ISNUMBER('Forecast'!AA72),SUM('Forecast'!D73:AA73),"Not supplied")</x:f>
        <x:v>-6258.765293949392</x:v>
      </x:c>
      <x:c r="E17" s="50"/>
      <x:c r="F17" s="50"/>
      <x:c r="G17" s="50"/>
      <x:c r="H17" s="50"/>
      <x:c r="I17" s="50"/>
      <x:c r="J17" s="50"/>
      <x:c r="K17" s="50"/>
      <x:c r="L17" s="50"/>
    </x:row>
    <x:row r="18" ht="21" customHeight="1">
      <x:c r="A18" s="50"/>
      <x:c r="B18" s="50"/>
      <x:c r="C18" s="50" t="str">
        <x:v>First non-negative cumulative month</x:v>
      </x:c>
      <x:c r="D18" s="58" t="str">
        <x:f>IF(ISNUMBER('Forecast'!AA72),IF(MIN('Forecast'!D75:AA75)=999,"Not reached",MIN('Forecast'!D75:AA75)),"Not supplied")</x:f>
        <x:v>Not reached</x:v>
      </x:c>
      <x:c r="E18" s="50"/>
      <x:c r="F18" s="50" t="str">
        <x:v>First crossing; later reversals remain visible in cash chart.</x:v>
      </x:c>
      <x:c r="G18" s="50"/>
      <x:c r="H18" s="50"/>
      <x:c r="I18" s="50"/>
      <x:c r="J18" s="50"/>
      <x:c r="K18" s="50"/>
      <x:c r="L18" s="50"/>
    </x:row>
    <x:row r="19" ht="21" customHeight="1">
      <x:c r="A19" s="50"/>
      <x:c r="B19" s="50"/>
      <x:c r="C19" s="50" t="str">
        <x:v>Pilot investment, excluding working capital</x:v>
      </x:c>
      <x:c r="D19" s="55" t="n">
        <x:f>'Forecast'!AA74</x:f>
        <x:v>35100</x:v>
      </x:c>
      <x:c r="E19" s="50"/>
      <x:c r="F19" s="50"/>
      <x:c r="G19" s="50"/>
      <x:c r="H19" s="50"/>
      <x:c r="I19" s="50"/>
      <x:c r="J19" s="50"/>
      <x:c r="K19" s="50"/>
      <x:c r="L19" s="50"/>
    </x:row>
    <x:row r="20" ht="21" customHeight="1">
      <x:c r="A20" s="50"/>
      <x:c r="B20" s="50"/>
      <x:c r="C20" s="81" t="str">
        <x:v>Cash ROI = net incremental cash / investment</x:v>
      </x:c>
      <x:c r="D20" s="88" t="n">
        <x:f>IF(ISNUMBER(D19),IF(D19=0,"n.a.",D15/D19),"Not supplied")</x:f>
        <x:v>-0.16976457972015283</x:v>
      </x:c>
      <x:c r="E20" s="50"/>
      <x:c r="F20" s="50" t="str">
        <x:v>Not ROAS; denominator includes setup and all pilot running costs.</x:v>
      </x:c>
      <x:c r="G20" s="50"/>
      <x:c r="H20" s="50"/>
      <x:c r="I20" s="50"/>
      <x:c r="J20" s="50"/>
      <x:c r="K20" s="50"/>
      <x:c r="L20" s="50"/>
    </x:row>
    <x:row r="21" ht="21" customHeight="1">
      <x:c r="A21" s="50"/>
      <x:c r="B21" s="50"/>
      <x:c r="C21" s="50" t="str">
        <x:v>No-benefit funding downside</x:v>
      </x:c>
      <x:c r="D21" s="55" t="n">
        <x:f>IF(ISNUMBER('Forecast'!AA77),-MIN(0,'Forecast'!D77:AA77),"Not supplied")</x:f>
        <x:v>35100</x:v>
      </x:c>
      <x:c r="E21" s="50"/>
      <x:c r="F21" s="50" t="str">
        <x:v>Same spend, all commercial benefits removed.</x:v>
      </x:c>
      <x:c r="G21" s="50"/>
      <x:c r="H21" s="50"/>
      <x:c r="I21" s="50"/>
      <x:c r="J21" s="50"/>
      <x:c r="K21" s="50"/>
      <x:c r="L21" s="50"/>
    </x:row>
    <x:row r="22" ht="21" customHeight="1">
      <x:c r="A22" s="50"/>
      <x:c r="B22" s="50"/>
      <x:c r="C22" s="50" t="str">
        <x:v>Monthly break-even benefit at month 24</x:v>
      </x:c>
      <x:c r="D22" s="55" t="n">
        <x:f>IF(ISNUMBER('Forecast'!AA61),SUM('Forecast'!AA58:AA60),"Not supplied")</x:f>
        <x:v>1350</x:v>
      </x:c>
      <x:c r="E22" s="50"/>
      <x:c r="F22" s="50" t="str">
        <x:v>Recurring incremental costs to cover before setup recovery.</x:v>
      </x:c>
      <x:c r="G22" s="50"/>
      <x:c r="H22" s="50"/>
      <x:c r="I22" s="50"/>
      <x:c r="J22" s="50"/>
      <x:c r="K22" s="50"/>
      <x:c r="L22" s="50"/>
    </x:row>
    <x:row r="23" ht="21" customHeight="1">
      <x:c r="A23" s="50"/>
      <x:c r="B23" s="50"/>
      <x:c r="C23" s="50" t="str">
        <x:v>Month 24 contribution benefit</x:v>
      </x:c>
      <x:c r="D23" s="55" t="n">
        <x:f>'Forecast'!AA65</x:f>
        <x:v>1818.2226905982243</x:v>
      </x:c>
      <x:c r="E23" s="50"/>
      <x:c r="F23" s="50"/>
      <x:c r="G23" s="50"/>
      <x:c r="H23" s="50"/>
      <x:c r="I23" s="50"/>
      <x:c r="J23" s="50"/>
      <x:c r="K23" s="50"/>
      <x:c r="L23" s="50"/>
    </x:row>
    <x:row r="24" ht="21" customHeight="1">
      <x:c r="A24" s="50"/>
      <x:c r="B24" s="50"/>
      <x:c r="C24" s="50"/>
      <x:c r="D24" s="50"/>
      <x:c r="E24" s="50"/>
      <x:c r="F24" s="50"/>
      <x:c r="G24" s="50"/>
      <x:c r="H24" s="50"/>
      <x:c r="I24" s="50"/>
      <x:c r="J24" s="50"/>
      <x:c r="K24" s="50"/>
      <x:c r="L24" s="50"/>
    </x:row>
    <x:row r="25" ht="21" customHeight="1">
      <x:c r="A25" s="50"/>
      <x:c r="B25" s="50"/>
      <x:c r="C25" s="50"/>
      <x:c r="D25" s="50"/>
      <x:c r="E25" s="50"/>
      <x:c r="F25" s="50"/>
      <x:c r="G25" s="50"/>
      <x:c r="H25" s="50"/>
      <x:c r="I25" s="50"/>
      <x:c r="J25" s="50"/>
      <x:c r="K25" s="50"/>
      <x:c r="L25" s="50"/>
    </x:row>
    <x:row r="26" ht="21" customHeight="1">
      <x:c r="A26" s="50"/>
      <x:c r="B26" s="50"/>
      <x:c r="C26" s="50"/>
      <x:c r="D26" s="50"/>
      <x:c r="E26" s="50"/>
      <x:c r="F26" s="50"/>
      <x:c r="G26" s="50"/>
      <x:c r="H26" s="50"/>
      <x:c r="I26" s="50"/>
      <x:c r="J26" s="50"/>
      <x:c r="K26" s="50"/>
      <x:c r="L26" s="50"/>
    </x:row>
    <x:row r="27" ht="21" customHeight="1">
      <x:c r="A27" s="50"/>
      <x:c r="B27" s="50"/>
      <x:c r="C27" s="54" t="str">
        <x:v>Month</x:v>
      </x:c>
      <x:c r="D27" s="54" t="str">
        <x:v>Baseline net sales</x:v>
      </x:c>
      <x:c r="E27" s="54" t="str">
        <x:v>With net sales</x:v>
      </x:c>
      <x:c r="F27" s="54" t="str">
        <x:v>Cumulative cash</x:v>
      </x:c>
      <x:c r="G27" s="50"/>
      <x:c r="H27" s="50"/>
      <x:c r="I27" s="50"/>
      <x:c r="J27" s="50"/>
      <x:c r="K27" s="50"/>
      <x:c r="L27" s="50"/>
    </x:row>
    <x:row r="28" ht="21" customHeight="1">
      <x:c r="A28" s="50"/>
      <x:c r="B28" s="50"/>
      <x:c r="C28" s="50" t="str">
        <x:f>TEXT('Forecast'!D7,"mmm-yy")</x:f>
        <x:v>Nov-26</x:v>
      </x:c>
      <x:c r="D28" s="55" t="n">
        <x:f>'Forecast'!D21</x:f>
        <x:v>23432</x:v>
      </x:c>
      <x:c r="E28" s="55" t="n">
        <x:f>'Forecast'!D49</x:f>
        <x:v>23432</x:v>
      </x:c>
      <x:c r="F28" s="55" t="n">
        <x:f>'Forecast'!D72</x:f>
        <x:v>-2700</x:v>
      </x:c>
      <x:c r="G28" s="50"/>
      <x:c r="H28" s="50"/>
      <x:c r="I28" s="50"/>
      <x:c r="J28" s="50"/>
      <x:c r="K28" s="50"/>
      <x:c r="L28" s="50"/>
    </x:row>
    <x:row r="29" ht="21" customHeight="1">
      <x:c r="A29" s="50"/>
      <x:c r="B29" s="50"/>
      <x:c r="C29" s="50" t="str">
        <x:f>TEXT('Forecast'!E7,"mmm-yy")</x:f>
        <x:v>Dec-26</x:v>
      </x:c>
      <x:c r="D29" s="55" t="n">
        <x:f>'Forecast'!E21</x:f>
        <x:v>23972.672000000002</x:v>
      </x:c>
      <x:c r="E29" s="55" t="n">
        <x:f>'Forecast'!E49</x:f>
        <x:v>23972.672000000002</x:v>
      </x:c>
      <x:c r="F29" s="55" t="n">
        <x:f>'Forecast'!E72</x:f>
        <x:v>-2700</x:v>
      </x:c>
      <x:c r="G29" s="50"/>
      <x:c r="H29" s="50"/>
      <x:c r="I29" s="50"/>
      <x:c r="J29" s="50"/>
      <x:c r="K29" s="50"/>
      <x:c r="L29" s="50"/>
    </x:row>
    <x:row r="30" ht="21" customHeight="1">
      <x:c r="A30" s="50"/>
      <x:c r="B30" s="50"/>
      <x:c r="C30" s="50" t="str">
        <x:f>TEXT('Forecast'!F7,"mmm-yy")</x:f>
        <x:v>Jan-27</x:v>
      </x:c>
      <x:c r="D30" s="55" t="n">
        <x:f>'Forecast'!F21</x:f>
        <x:v>24502.53056</x:v>
      </x:c>
      <x:c r="E30" s="55" t="n">
        <x:f>'Forecast'!F49</x:f>
        <x:v>24955.355269283846</x:v>
      </x:c>
      <x:c r="F30" s="55" t="n">
        <x:f>'Forecast'!F72</x:f>
        <x:v>-6659.985117358076</x:v>
      </x:c>
      <x:c r="G30" s="50"/>
      <x:c r="H30" s="50"/>
      <x:c r="I30" s="50"/>
      <x:c r="J30" s="50"/>
      <x:c r="K30" s="50"/>
      <x:c r="L30" s="50"/>
    </x:row>
    <x:row r="31" ht="21" customHeight="1">
      <x:c r="A31" s="50"/>
      <x:c r="B31" s="50"/>
      <x:c r="C31" s="50" t="str">
        <x:f>TEXT('Forecast'!G7,"mmm-yy")</x:f>
        <x:v>Feb-27</x:v>
      </x:c>
      <x:c r="D31" s="55" t="n">
        <x:f>'Forecast'!G21</x:f>
        <x:v>25021.791948800004</x:v>
      </x:c>
      <x:c r="E31" s="55" t="n">
        <x:f>'Forecast'!G49</x:f>
        <x:v>25959.77401384552</x:v>
      </x:c>
      <x:c r="F31" s="55" t="n">
        <x:f>'Forecast'!G72</x:f>
        <x:v>-7651.2604039966645</x:v>
      </x:c>
      <x:c r="G31" s="50"/>
      <x:c r="H31" s="50"/>
      <x:c r="I31" s="50"/>
      <x:c r="J31" s="50"/>
      <x:c r="K31" s="50"/>
      <x:c r="L31" s="50"/>
    </x:row>
    <x:row r="32" ht="21" customHeight="1">
      <x:c r="A32" s="50"/>
      <x:c r="B32" s="50"/>
      <x:c r="C32" s="50" t="str">
        <x:f>TEXT('Forecast'!H7,"mmm-yy")</x:f>
        <x:v>Mar-27</x:v>
      </x:c>
      <x:c r="D32" s="55" t="n">
        <x:f>'Forecast'!H21</x:f>
        <x:v>25530.668109824</x:v>
      </x:c>
      <x:c r="E32" s="55" t="n">
        <x:f>'Forecast'!H49</x:f>
        <x:v>26986.13163356232</x:v>
      </x:c>
      <x:c r="F32" s="55" t="n">
        <x:f>'Forecast'!H72</x:f>
        <x:v>-8354.801477208663</x:v>
      </x:c>
      <x:c r="G32" s="50"/>
      <x:c r="H32" s="50"/>
      <x:c r="I32" s="50"/>
      <x:c r="J32" s="50"/>
      <x:c r="K32" s="50"/>
      <x:c r="L32" s="50"/>
    </x:row>
    <x:row r="33" ht="21" customHeight="1">
      <x:c r="A33" s="50"/>
      <x:c r="B33" s="50"/>
      <x:c r="C33" s="50" t="str">
        <x:f>TEXT('Forecast'!I7,"mmm-yy")</x:f>
        <x:v>Apr-27</x:v>
      </x:c>
      <x:c r="D33" s="55" t="n">
        <x:f>'Forecast'!I21</x:f>
        <x:v>26029.36674762752</x:v>
      </x:c>
      <x:c r="E33" s="55" t="n">
        <x:f>'Forecast'!I49</x:f>
        <x:v>28034.63586685275</x:v>
      </x:c>
      <x:c r="F33" s="55" t="n">
        <x:f>'Forecast'!I72</x:f>
        <x:v>-8751.575291218305</x:v>
      </x:c>
      <x:c r="G33" s="50"/>
      <x:c r="H33" s="50"/>
      <x:c r="I33" s="50"/>
      <x:c r="J33" s="50"/>
      <x:c r="K33" s="50"/>
      <x:c r="L33" s="50"/>
    </x:row>
    <x:row r="34" ht="21" customHeight="1">
      <x:c r="A34" s="50"/>
      <x:c r="B34" s="50"/>
      <x:c r="C34" s="50" t="str">
        <x:f>TEXT('Forecast'!J7,"mmm-yy")</x:f>
        <x:v>May-27</x:v>
      </x:c>
      <x:c r="D34" s="55" t="n">
        <x:f>'Forecast'!J21</x:f>
        <x:v>26518.09141267497</x:v>
      </x:c>
      <x:c r="E34" s="55" t="n">
        <x:f>'Forecast'!J49</x:f>
        <x:v>28600.377101792015</x:v>
      </x:c>
      <x:c r="F34" s="55" t="n">
        <x:f>'Forecast'!J72</x:f>
        <x:v>-8935.555344188491</x:v>
      </x:c>
      <x:c r="G34" s="50"/>
      <x:c r="H34" s="50"/>
      <x:c r="I34" s="50"/>
      <x:c r="J34" s="50"/>
      <x:c r="K34" s="50"/>
      <x:c r="L34" s="50"/>
    </x:row>
    <x:row r="35" ht="21" customHeight="1">
      <x:c r="A35" s="50"/>
      <x:c r="B35" s="50"/>
      <x:c r="C35" s="50" t="str">
        <x:f>TEXT('Forecast'!K7,"mmm-yy")</x:f>
        <x:v>Jun-27</x:v>
      </x:c>
      <x:c r="D35" s="55" t="n">
        <x:f>'Forecast'!K21</x:f>
        <x:v>26997.041584421466</x:v>
      </x:c>
      <x:c r="E35" s="55" t="n">
        <x:f>'Forecast'!K49</x:f>
        <x:v>29154.803512032508</x:v>
      </x:c>
      <x:c r="F35" s="55" t="n">
        <x:f>'Forecast'!K72</x:f>
        <x:v>-9075.248154103338</x:v>
      </x:c>
      <x:c r="G35" s="50"/>
      <x:c r="H35" s="50"/>
      <x:c r="I35" s="50"/>
      <x:c r="J35" s="50"/>
      <x:c r="K35" s="50"/>
      <x:c r="L35" s="50"/>
    </x:row>
    <x:row r="36" ht="21" customHeight="1">
      <x:c r="A36" s="50"/>
      <x:c r="B36" s="50"/>
      <x:c r="C36" s="50" t="str">
        <x:f>TEXT('Forecast'!L7,"mmm-yy")</x:f>
        <x:v>Jul-27</x:v>
      </x:c>
      <x:c r="D36" s="55" t="n">
        <x:f>'Forecast'!L21</x:f>
        <x:v>27466.41275273304</x:v>
      </x:c>
      <x:c r="E36" s="55" t="n">
        <x:f>'Forecast'!L49</x:f>
        <x:v>29698.141394068178</x:v>
      </x:c>
      <x:c r="F36" s="55" t="n">
        <x:f>'Forecast'!L72</x:f>
        <x:v>-9171.539465823957</x:v>
      </x:c>
      <x:c r="G36" s="50"/>
      <x:c r="H36" s="50"/>
      <x:c r="I36" s="50"/>
      <x:c r="J36" s="50"/>
      <x:c r="K36" s="50"/>
      <x:c r="L36" s="50"/>
    </x:row>
    <x:row r="37" ht="21" customHeight="1">
      <x:c r="A37" s="50"/>
      <x:c r="B37" s="50"/>
      <x:c r="C37" s="50" t="str">
        <x:f>TEXT('Forecast'!M7,"mmm-yy")</x:f>
        <x:v>Aug-27</x:v>
      </x:c>
      <x:c r="D37" s="55" t="n">
        <x:f>'Forecast'!M21</x:f>
        <x:v>27926.39649767838</x:v>
      </x:c>
      <x:c r="E37" s="55" t="n">
        <x:f>'Forecast'!M49</x:f>
        <x:v>30230.612518463142</x:v>
      </x:c>
      <x:c r="F37" s="55" t="n">
        <x:f>'Forecast'!M72</x:f>
        <x:v>-9225.297309314235</x:v>
      </x:c>
      <x:c r="G37" s="50"/>
      <x:c r="H37" s="50"/>
      <x:c r="I37" s="50"/>
      <x:c r="J37" s="50"/>
      <x:c r="K37" s="50"/>
      <x:c r="L37" s="50"/>
    </x:row>
    <x:row r="38" ht="21" customHeight="1">
      <x:c r="A38" s="50"/>
      <x:c r="B38" s="50"/>
      <x:c r="C38" s="50" t="str">
        <x:f>TEXT('Forecast'!N7,"mmm-yy")</x:f>
        <x:v>Sep-27</x:v>
      </x:c>
      <x:c r="D38" s="55" t="n">
        <x:f>'Forecast'!N21</x:f>
        <x:v>28377.180567724812</x:v>
      </x:c>
      <x:c r="E38" s="55" t="n">
        <x:f>'Forecast'!N49</x:f>
        <x:v>30752.434220370207</x:v>
      </x:c>
      <x:c r="F38" s="55" t="n">
        <x:f>'Forecast'!N72</x:f>
        <x:v>-9237.372353938776</x:v>
      </x:c>
      <x:c r="G38" s="50"/>
      <x:c r="H38" s="50"/>
      <x:c r="I38" s="50"/>
      <x:c r="J38" s="50"/>
      <x:c r="K38" s="50"/>
      <x:c r="L38" s="50"/>
    </x:row>
    <x:row r="39" ht="21" customHeight="1">
      <x:c r="A39" s="50"/>
      <x:c r="B39" s="50"/>
      <x:c r="C39" s="50" t="str">
        <x:f>TEXT('Forecast'!O7,"mmm-yy")</x:f>
        <x:v>Oct-27</x:v>
      </x:c>
      <x:c r="D39" s="55" t="n">
        <x:f>'Forecast'!O21</x:f>
        <x:v>28818.948956370314</x:v>
      </x:c>
      <x:c r="E39" s="55" t="n">
        <x:f>'Forecast'!O49</x:f>
        <x:v>31263.819488239125</x:v>
      </x:c>
      <x:c r="F39" s="55" t="n">
        <x:f>'Forecast'!O72</x:f>
        <x:v>-9208.598255674893</x:v>
      </x:c>
      <x:c r="G39" s="50"/>
      <x:c r="H39" s="50"/>
      <x:c r="I39" s="50"/>
      <x:c r="J39" s="50"/>
      <x:c r="K39" s="50"/>
      <x:c r="L39" s="50"/>
    </x:row>
    <x:row r="40" ht="21" customHeight="1">
      <x:c r="A40" s="50"/>
      <x:c r="B40" s="50"/>
      <x:c r="C40" s="50" t="str">
        <x:f>TEXT('Forecast'!P7,"mmm-yy")</x:f>
        <x:v>Nov-27</x:v>
      </x:c>
      <x:c r="D40" s="55" t="n">
        <x:f>'Forecast'!P21</x:f>
        <x:v>29251.88197724291</x:v>
      </x:c>
      <x:c r="E40" s="55" t="n">
        <x:f>'Forecast'!P49</x:f>
        <x:v>31764.97705075067</x:v>
      </x:c>
      <x:c r="F40" s="55" t="n">
        <x:f>'Forecast'!P72</x:f>
        <x:v>-9139.791997380358</x:v>
      </x:c>
      <x:c r="G40" s="50"/>
      <x:c r="H40" s="50"/>
      <x:c r="I40" s="50"/>
      <x:c r="J40" s="50"/>
      <x:c r="K40" s="50"/>
      <x:c r="L40" s="50"/>
    </x:row>
    <x:row r="41" ht="21" customHeight="1">
      <x:c r="A41" s="50"/>
      <x:c r="B41" s="50"/>
      <x:c r="C41" s="50" t="str">
        <x:f>TEXT('Forecast'!Q7,"mmm-yy")</x:f>
        <x:v>Dec-27</x:v>
      </x:c>
      <x:c r="D41" s="55" t="n">
        <x:f>'Forecast'!Q21</x:f>
        <x:v>29676.156337698052</x:v>
      </x:c>
      <x:c r="E41" s="55" t="n">
        <x:f>'Forecast'!Q49</x:f>
        <x:v>32256.111462011977</x:v>
      </x:c>
      <x:c r="F41" s="55" t="n">
        <x:f>'Forecast'!Q72</x:f>
        <x:v>-9031.754222255784</x:v>
      </x:c>
      <x:c r="G41" s="50"/>
      <x:c r="H41" s="50"/>
      <x:c r="I41" s="50"/>
      <x:c r="J41" s="50"/>
      <x:c r="K41" s="50"/>
      <x:c r="L41" s="50"/>
    </x:row>
    <x:row r="42" ht="21" customHeight="1">
      <x:c r="A42" s="50"/>
      <x:c r="B42" s="50"/>
      <x:c r="C42" s="50" t="str">
        <x:f>TEXT('Forecast'!R7,"mmm-yy")</x:f>
        <x:v>Jan-28</x:v>
      </x:c>
      <x:c r="D42" s="55" t="n">
        <x:f>'Forecast'!R21</x:f>
        <x:v>30091.945210944086</x:v>
      </x:c>
      <x:c r="E42" s="55" t="n">
        <x:f>'Forecast'!R49</x:f>
        <x:v>32737.423185048065</x:v>
      </x:c>
      <x:c r="F42" s="55" t="n">
        <x:f>'Forecast'!R72</x:f>
        <x:v>-8885.26956063777</x:v>
      </x:c>
      <x:c r="G42" s="50"/>
      <x:c r="H42" s="50"/>
      <x:c r="I42" s="50"/>
      <x:c r="J42" s="50"/>
      <x:c r="K42" s="50"/>
      <x:c r="L42" s="50"/>
    </x:row>
    <x:row r="43" ht="21" customHeight="1">
      <x:c r="A43" s="50"/>
      <x:c r="B43" s="50"/>
      <x:c r="C43" s="50" t="str">
        <x:f>TEXT('Forecast'!S7,"mmm-yy")</x:f>
        <x:v>Feb-28</x:v>
      </x:c>
      <x:c r="D43" s="55" t="n">
        <x:f>'Forecast'!S21</x:f>
        <x:v>30499.41830672521</x:v>
      </x:c>
      <x:c r="E43" s="55" t="n">
        <x:f>'Forecast'!S49</x:f>
        <x:v>33209.10867362343</x:v>
      </x:c>
      <x:c r="F43" s="55" t="n">
        <x:f>'Forecast'!S72</x:f>
        <x:v>-8701.106950256193</x:v>
      </x:c>
      <x:c r="G43" s="50"/>
      <x:c r="H43" s="50"/>
      <x:c r="I43" s="50"/>
      <x:c r="J43" s="50"/>
      <x:c r="K43" s="50"/>
      <x:c r="L43" s="50"/>
    </x:row>
    <x:row r="44" ht="21" customHeight="1">
      <x:c r="A44" s="50"/>
      <x:c r="B44" s="50"/>
      <x:c r="C44" s="50" t="str">
        <x:f>TEXT('Forecast'!T7,"mmm-yy")</x:f>
        <x:v>Mar-28</x:v>
      </x:c>
      <x:c r="D44" s="55" t="n">
        <x:f>'Forecast'!T21</x:f>
        <x:v>30898.741940590702</x:v>
      </x:c>
      <x:c r="E44" s="55" t="n">
        <x:f>'Forecast'!T49</x:f>
        <x:v>33671.36045242729</x:v>
      </x:c>
      <x:c r="F44" s="55" t="n">
        <x:f>'Forecast'!T72</x:f>
        <x:v>-8480.019950086311</x:v>
      </x:c>
      <x:c r="G44" s="50"/>
      <x:c r="H44" s="50"/>
      <x:c r="I44" s="50"/>
      <x:c r="J44" s="50"/>
      <x:c r="K44" s="50"/>
      <x:c r="L44" s="50"/>
    </x:row>
    <x:row r="45" ht="21" customHeight="1">
      <x:c r="A45" s="50"/>
      <x:c r="B45" s="50"/>
      <x:c r="C45" s="50" t="str">
        <x:f>TEXT('Forecast'!U7,"mmm-yy")</x:f>
        <x:v>Apr-28</x:v>
      </x:c>
      <x:c r="D45" s="55" t="n">
        <x:f>'Forecast'!U21</x:f>
        <x:v>31290.079101778887</x:v>
      </x:c>
      <x:c r="E45" s="55" t="n">
        <x:f>'Forecast'!U49</x:f>
        <x:v>34124.36719565507</x:v>
      </x:c>
      <x:c r="F45" s="55" t="n">
        <x:f>'Forecast'!U72</x:f>
        <x:v>-8222.747047923895</x:v>
      </x:c>
      <x:c r="G45" s="50"/>
      <x:c r="H45" s="50"/>
      <x:c r="I45" s="50"/>
      <x:c r="J45" s="50"/>
      <x:c r="K45" s="50"/>
      <x:c r="L45" s="50"/>
    </x:row>
    <x:row r="46" ht="21" customHeight="1">
      <x:c r="A46" s="50"/>
      <x:c r="B46" s="50"/>
      <x:c r="C46" s="50" t="str">
        <x:f>TEXT('Forecast'!V7,"mmm-yy")</x:f>
        <x:v>May-28</x:v>
      </x:c>
      <x:c r="D46" s="55" t="n">
        <x:f>'Forecast'!V21</x:f>
        <x:v>31673.589519743313</x:v>
      </x:c>
      <x:c r="E46" s="55" t="n">
        <x:f>'Forecast'!V49</x:f>
        <x:v>34568.31380401828</x:v>
      </x:c>
      <x:c r="F46" s="55" t="n">
        <x:f>'Forecast'!V72</x:f>
        <x:v>-7930.011961808809</x:v>
      </x:c>
      <x:c r="G46" s="50"/>
      <x:c r="H46" s="50"/>
      <x:c r="I46" s="50"/>
      <x:c r="J46" s="50"/>
      <x:c r="K46" s="50"/>
      <x:c r="L46" s="50"/>
    </x:row>
    <x:row r="47" ht="21" customHeight="1">
      <x:c r="A47" s="50"/>
      <x:c r="B47" s="50"/>
      <x:c r="C47" s="50" t="str">
        <x:f>TEXT('Forecast'!W7,"mmm-yy")</x:f>
        <x:v>Jun-28</x:v>
      </x:c>
      <x:c r="D47" s="55" t="n">
        <x:f>'Forecast'!W21</x:f>
        <x:v>32049.42972934844</x:v>
      </x:c>
      <x:c r="E47" s="55" t="n">
        <x:f>'Forecast'!W49</x:f>
        <x:v>35003.381480214244</x:v>
      </x:c>
      <x:c r="F47" s="55" t="n">
        <x:f>'Forecast'!W72</x:f>
        <x:v>-7602.523935420088</x:v>
      </x:c>
      <x:c r="G47" s="50"/>
      <x:c r="H47" s="50"/>
      <x:c r="I47" s="50"/>
      <x:c r="J47" s="50"/>
      <x:c r="K47" s="50"/>
      <x:c r="L47" s="50"/>
    </x:row>
    <x:row r="48" ht="21" customHeight="1">
      <x:c r="A48" s="50"/>
      <x:c r="B48" s="50"/>
      <x:c r="C48" s="50" t="str">
        <x:f>TEXT('Forecast'!X7,"mmm-yy")</x:f>
        <x:v>Jul-28</x:v>
      </x:c>
      <x:c r="D48" s="55" t="n">
        <x:f>'Forecast'!X21</x:f>
        <x:v>32417.753134761475</x:v>
      </x:c>
      <x:c r="E48" s="55" t="n">
        <x:f>'Forecast'!X49</x:f>
        <x:v>35429.74780288629</x:v>
      </x:c>
      <x:c r="F48" s="55" t="n">
        <x:f>'Forecast'!X72</x:f>
        <x:v>-7240.978027563204</x:v>
      </x:c>
      <x:c r="G48" s="50"/>
      <x:c r="H48" s="50"/>
      <x:c r="I48" s="50"/>
      <x:c r="J48" s="50"/>
      <x:c r="K48" s="50"/>
      <x:c r="L48" s="50"/>
    </x:row>
    <x:row r="49" ht="21" customHeight="1">
      <x:c r="A49" s="50"/>
      <x:c r="B49" s="50"/>
      <x:c r="C49" s="50" t="str">
        <x:f>TEXT('Forecast'!Y7,"mmm-yy")</x:f>
        <x:v>Aug-28</x:v>
      </x:c>
      <x:c r="D49" s="55" t="n">
        <x:f>'Forecast'!Y21</x:f>
        <x:v>32778.71007206624</x:v>
      </x:c>
      <x:c r="E49" s="55" t="n">
        <x:f>'Forecast'!Y49</x:f>
        <x:v>35847.58679910489</x:v>
      </x:c>
      <x:c r="F49" s="55" t="n">
        <x:f>'Forecast'!Y72</x:f>
        <x:v>-6846.055395867527</x:v>
      </x:c>
      <x:c r="G49" s="50"/>
      <x:c r="H49" s="50"/>
      <x:c r="I49" s="50"/>
      <x:c r="J49" s="50"/>
      <x:c r="K49" s="50"/>
      <x:c r="L49" s="50"/>
    </x:row>
    <x:row r="50" ht="21" customHeight="1">
      <x:c r="A50" s="50"/>
      <x:c r="B50" s="50"/>
      <x:c r="C50" s="50" t="str">
        <x:f>TEXT('Forecast'!Z7,"mmm-yy")</x:f>
        <x:v>Sep-28</x:v>
      </x:c>
      <x:c r="D50" s="55" t="n">
        <x:f>'Forecast'!Z21</x:f>
        <x:v>33132.44787062492</x:v>
      </x:c>
      <x:c r="E50" s="55" t="n">
        <x:f>'Forecast'!Z49</x:f>
        <x:v>36257.069015399116</x:v>
      </x:c>
      <x:c r="F50" s="55" t="n">
        <x:f>'Forecast'!Z72</x:f>
        <x:v>-6418.423574809832</x:v>
      </x:c>
      <x:c r="G50" s="50"/>
      <x:c r="H50" s="50"/>
      <x:c r="I50" s="50"/>
      <x:c r="J50" s="50"/>
      <x:c r="K50" s="50"/>
      <x:c r="L50" s="50"/>
    </x:row>
    <x:row r="51" ht="21" customHeight="1">
      <x:c r="A51" s="50"/>
      <x:c r="B51" s="50"/>
      <x:c r="C51" s="50" t="str">
        <x:f>TEXT('Forecast'!AA7,"mmm-yy")</x:f>
        <x:v>Oct-28</x:v>
      </x:c>
      <x:c r="D51" s="55" t="n">
        <x:f>'Forecast'!AA21</x:f>
        <x:v>33479.11091321242</x:v>
      </x:c>
      <x:c r="E51" s="55" t="n">
        <x:f>'Forecast'!AA49</x:f>
        <x:v>36658.36158736746</x:v>
      </x:c>
      <x:c r="F51" s="55" t="n">
        <x:f>'Forecast'!AA72</x:f>
        <x:v>-5958.7367481773645</x:v>
      </x:c>
      <x:c r="G51" s="50"/>
      <x:c r="H51" s="50"/>
      <x:c r="I51" s="50"/>
      <x:c r="J51" s="50"/>
      <x:c r="K51" s="50"/>
      <x:c r="L51" s="50"/>
    </x:row>
    <x:row r="52" ht="21" customHeight="1">
      <x:c r="A52" s="50"/>
      <x:c r="B52" s="50"/>
      <x:c r="C52" s="50"/>
      <x:c r="D52" s="50"/>
      <x:c r="E52" s="50"/>
      <x:c r="F52" s="50"/>
      <x:c r="G52" s="50"/>
      <x:c r="H52" s="50"/>
      <x:c r="I52" s="50"/>
      <x:c r="J52" s="50"/>
      <x:c r="K52" s="50"/>
      <x:c r="L52" s="50"/>
    </x:row>
    <x:row r="53" ht="21" customHeight="1">
      <x:c r="A53" s="50"/>
      <x:c r="B53" s="50"/>
      <x:c r="C53" s="50"/>
      <x:c r="D53" s="50"/>
      <x:c r="E53" s="50"/>
      <x:c r="F53" s="50"/>
      <x:c r="G53" s="50"/>
      <x:c r="H53" s="50"/>
      <x:c r="I53" s="50"/>
      <x:c r="J53" s="50"/>
      <x:c r="K53" s="50"/>
      <x:c r="L53" s="50"/>
    </x:row>
    <x:row r="54" ht="21" customHeight="1">
      <x:c r="A54" s="50"/>
      <x:c r="B54" s="50"/>
      <x:c r="C54" s="50" t="str">
        <x:v>Decision: replace demo assumptions, validate costs and design a controlled pilot before asserting impact.</x:v>
      </x:c>
      <x:c r="D54" s="50"/>
      <x:c r="E54" s="50"/>
      <x:c r="F54" s="50"/>
      <x:c r="G54" s="50"/>
      <x:c r="H54" s="50"/>
      <x:c r="I54" s="50"/>
      <x:c r="J54" s="50"/>
      <x:c r="K54" s="50"/>
      <x:c r="L54" s="50"/>
    </x:row>
    <x:row r="55" ht="21" customHeight="1">
      <x:c r="A55" s="50"/>
      <x:c r="B55" s="50"/>
      <x:c r="C55" s="50" t="str">
        <x:v>Actual results, client budget and approvals remain unknown. Model does not forecast a causal outcome.</x:v>
      </x:c>
      <x:c r="D55" s="50"/>
      <x:c r="E55" s="50"/>
      <x:c r="F55" s="50"/>
      <x:c r="G55" s="50"/>
      <x:c r="H55" s="50"/>
      <x:c r="I55" s="50"/>
      <x:c r="J55" s="50"/>
      <x:c r="K55" s="50"/>
      <x:c r="L55" s="50"/>
    </x:row>
    <x:row r="56" ht="21" customHeight="1">
      <x:c r="A56" s="50"/>
      <x:c r="B56" s="50"/>
      <x:c r="C56" s="50"/>
      <x:c r="D56" s="50"/>
      <x:c r="E56" s="50"/>
      <x:c r="F56" s="50"/>
      <x:c r="G56" s="50"/>
      <x:c r="H56" s="50"/>
      <x:c r="I56" s="50"/>
      <x:c r="J56" s="50"/>
      <x:c r="K56" s="50"/>
      <x:c r="L56" s="50"/>
    </x:row>
    <x:row r="57" ht="21" customHeight="1">
      <x:c r="A57" s="50"/>
      <x:c r="B57" s="50"/>
      <x:c r="C57" s="50"/>
      <x:c r="D57" s="50"/>
      <x:c r="E57" s="50"/>
      <x:c r="F57" s="50"/>
      <x:c r="G57" s="50"/>
      <x:c r="H57" s="50"/>
      <x:c r="I57" s="50"/>
      <x:c r="J57" s="50"/>
      <x:c r="K57" s="50"/>
      <x:c r="L57" s="50"/>
    </x:row>
  </x:sheetData>
  <x:pageMargins left="0.7" right="0.7" top="0.75" bottom="0.75" header="0.3" footer="0.3"/>
  <x:drawing xmlns:r="http://schemas.openxmlformats.org/officeDocument/2006/relationships" r:id="Re49866d57a9d4f06"/>
</x:worksheet>
</file>

<file path=xl/worksheets/sheet2.xml><?xml version="1.0" encoding="utf-8"?>
<x:worksheet xmlns:x="http://schemas.openxmlformats.org/spreadsheetml/2006/main">
  <x:sheetPr>
    <x:tabColor rgb="FF718674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55" hidden="0" customWidth="1"/>
    <x:col min="4" max="4" width="15" hidden="0" customWidth="1"/>
    <x:col min="5" max="5" width="15" hidden="0" customWidth="1"/>
    <x:col min="6" max="6" width="15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</x:cols>
  <x:sheetData>
    <x:row r="1" ht="21" customHeight="1">
      <x:c r="A1" s="50"/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  <x:c r="M1" s="50"/>
    </x:row>
    <x:row r="2" ht="21" customHeight="1">
      <x:c r="A2" s="50"/>
      <x:c r="B2" s="50"/>
      <x:c r="C2" s="51" t="str">
        <x:v>Scenario controls | illustrative, not Mauli actuals</x:v>
      </x:c>
      <x:c r="D2" s="50"/>
      <x:c r="E2" s="50"/>
      <x:c r="F2" s="50"/>
      <x:c r="G2" s="50"/>
      <x:c r="H2" s="50"/>
      <x:c r="I2" s="50"/>
      <x:c r="J2" s="50"/>
      <x:c r="K2" s="50"/>
      <x:c r="L2" s="50"/>
      <x:c r="M2" s="50"/>
    </x:row>
    <x:row r="3" ht="21" customHeight="1">
      <x:c r="A3" s="50"/>
      <x:c r="B3" s="50"/>
      <x:c r="C3" s="52"/>
      <x:c r="D3" s="52"/>
      <x:c r="E3" s="52"/>
      <x:c r="F3" s="52"/>
      <x:c r="G3" s="52"/>
      <x:c r="H3" s="52"/>
      <x:c r="I3" s="52"/>
      <x:c r="J3" s="52"/>
      <x:c r="K3" s="52"/>
      <x:c r="L3" s="52"/>
      <x:c r="M3" s="50"/>
    </x:row>
    <x:row r="4" ht="21" customHeight="1">
      <x:c r="A4" s="50"/>
      <x:c r="B4" s="50"/>
      <x:c r="C4" s="50" t="str">
        <x:v>Scenario: 1 Low / 2 Base / 3 High</x:v>
      </x:c>
      <x:c r="D4" s="60" t="n">
        <x:v>2</x:v>
      </x:c>
      <x:c r="E4" s="50"/>
      <x:c r="F4" s="50"/>
      <x:c r="G4" s="50" t="str">
        <x:v>All scenario values are illustrative planning assumptions.</x:v>
      </x:c>
      <x:c r="H4" s="50"/>
      <x:c r="I4" s="50"/>
      <x:c r="J4" s="50"/>
      <x:c r="K4" s="50"/>
      <x:c r="L4" s="50"/>
      <x:c r="M4" s="50"/>
    </x:row>
    <x:row r="5" ht="21" customHeight="1">
      <x:c r="A5" s="50"/>
      <x:c r="B5" s="50"/>
      <x:c r="C5" s="50" t="str">
        <x:v>Benefit multiplier | sensitivity input</x:v>
      </x:c>
      <x:c r="D5" s="61" t="n">
        <x:v>1</x:v>
      </x:c>
      <x:c r="E5" s="50"/>
      <x:c r="F5" s="50"/>
      <x:c r="G5" s="50" t="str">
        <x:v>Change one selector; forecast and summary update together.</x:v>
      </x:c>
      <x:c r="H5" s="50"/>
      <x:c r="I5" s="50"/>
      <x:c r="J5" s="50"/>
      <x:c r="K5" s="50"/>
      <x:c r="L5" s="50"/>
      <x:c r="M5" s="50"/>
    </x:row>
    <x:row r="6" ht="21" customHeight="1">
      <x:c r="A6" s="50"/>
      <x:c r="B6" s="50"/>
      <x:c r="C6" s="50" t="str">
        <x:v>Cost multiplier | sensitivity input</x:v>
      </x:c>
      <x:c r="D6" s="61" t="n">
        <x:v>1</x:v>
      </x:c>
      <x:c r="E6" s="50"/>
      <x:c r="F6" s="50"/>
      <x:c r="G6" s="50" t="str">
        <x:v>Blue = editable. Green = linked. Amber = input.</x:v>
      </x:c>
      <x:c r="H6" s="50"/>
      <x:c r="I6" s="50"/>
      <x:c r="J6" s="50"/>
      <x:c r="K6" s="50"/>
      <x:c r="L6" s="50"/>
      <x:c r="M6" s="50"/>
    </x:row>
    <x:row r="7" ht="21" customHeight="1">
      <x:c r="A7" s="50"/>
      <x:c r="B7" s="50"/>
      <x:c r="C7" s="50" t="str">
        <x:v>Required inputs / bounds status</x:v>
      </x:c>
      <x:c r="D7" s="62" t="str">
        <x:f>IF(AND(COUNT(D13:D31)=19,COUNT(D35,D40,D45,D50,D55,D60,D65,D70,D75,D80,D85,D90,D95,D100,D105,D110,D115,D120,D125,D130,D135,D140)=22),IF(AND(D13&gt;=0,D14&gt;-1,D15&gt;=0,D15&lt;=1,D16&gt;=0,D17&gt;=0,D18&gt;=0,D18&lt;=1,D19&gt;=0,D20&gt;=0,D20&lt;=1,D21&gt;=0,D21&lt;=1,D22&gt;=0,D23&gt;=0,D23&lt;=1,D24&gt;=0,D25&gt;=0,D26&gt;=0,D27&gt;=0,D28&gt;=0,D28&lt;=1,D29&gt;=0,D29&lt;=6,D29=INT(D29),D30&gt;=0,D31&gt;-1,D5&gt;=0,D6&gt;=0,D35&gt;=1,D35=INT(D35),D40&gt;=1,D45&gt;=0,D45&lt;=1,D70&gt;=0,D70&lt;=1,D115=INT(D115),D115&gt;=0,D115&lt;=1,D120&gt;=0,D120&lt;=1,D75&gt;=0,D80&gt;=0,D85&gt;=0,D90&gt;=0,D95&gt;=0,D100&gt;=0,D105&gt;=0,D110&gt;=0,D125&gt;=0,D130&gt;=0,D135&gt;=0,D140&gt;=0),"Ready","Invalid bounds"),"Incomplete")</x:f>
        <x:v>Ready</x:v>
      </x:c>
      <x:c r="E7" s="50"/>
      <x:c r="F7" s="50"/>
      <x:c r="G7" s="50"/>
      <x:c r="H7" s="50"/>
      <x:c r="I7" s="50"/>
      <x:c r="J7" s="50"/>
      <x:c r="K7" s="50"/>
      <x:c r="L7" s="50"/>
      <x:c r="M7" s="50"/>
    </x:row>
    <x:row r="8" ht="21" customHeight="1">
      <x:c r="A8" s="50"/>
      <x:c r="B8" s="50"/>
      <x:c r="C8" s="50" t="str">
        <x:v>Data mode: 1 Demo / 2 Client inputs</x:v>
      </x:c>
      <x:c r="D8" s="60" t="n">
        <x:v>1</x:v>
      </x:c>
      <x:c r="E8" s="50"/>
      <x:c r="F8" s="50"/>
      <x:c r="G8" s="50"/>
      <x:c r="H8" s="50"/>
      <x:c r="I8" s="50"/>
      <x:c r="J8" s="50"/>
      <x:c r="K8" s="50"/>
      <x:c r="L8" s="50"/>
      <x:c r="M8" s="50"/>
    </x:row>
    <x:row r="9" ht="21" customHeight="1">
      <x:c r="A9" s="50"/>
      <x:c r="B9" s="50"/>
      <x:c r="C9" s="50" t="str">
        <x:v>Assumed first forecast month</x:v>
      </x:c>
      <x:c r="D9" s="63" t="d">
        <x:v>2026-11-01T00:00:00.000Z</x:v>
      </x:c>
      <x:c r="E9" s="50"/>
      <x:c r="F9" s="50"/>
      <x:c r="G9" s="50" t="str">
        <x:v>Sensitivity | 24-month incremental cash (£)</x:v>
      </x:c>
      <x:c r="H9" s="50"/>
      <x:c r="I9" s="50"/>
      <x:c r="J9" s="50"/>
      <x:c r="K9" s="50"/>
      <x:c r="L9" s="50"/>
      <x:c r="M9" s="50"/>
    </x:row>
    <x:row r="10" ht="21" customHeight="1">
      <x:c r="A10" s="50"/>
      <x:c r="B10" s="50"/>
      <x:c r="C10" s="50" t="str">
        <x:v>Selected case</x:v>
      </x:c>
      <x:c r="D10" s="62" t="str">
        <x:f>CHOOSE(D4,"Low","Base","High")</x:f>
        <x:v>Base</x:v>
      </x:c>
      <x:c r="E10" s="50"/>
      <x:c r="F10" s="50"/>
      <x:c r="G10" s="50" t="str">
        <x:v>Benefit across; cost multiplier down</x:v>
      </x:c>
      <x:c r="H10" s="50"/>
      <x:c r="I10" s="50"/>
      <x:c r="J10" s="50"/>
      <x:c r="K10" s="50"/>
      <x:c r="L10" s="50"/>
      <x:c r="M10" s="50"/>
    </x:row>
    <x:row r="11" ht="21" customHeight="1">
      <x:c r="A11" s="50"/>
      <x:c r="B11" s="50"/>
      <x:c r="C11" s="50"/>
      <x:c r="D11" s="50"/>
      <x:c r="E11" s="50"/>
      <x:c r="F11" s="50"/>
      <x:c r="G11" s="86" t="n">
        <x:f>'Summary'!D15</x:f>
        <x:v>-5958.7367481773645</x:v>
      </x:c>
      <x:c r="H11" s="65" t="n">
        <x:v>0</x:v>
      </x:c>
      <x:c r="I11" s="65" t="n">
        <x:v>0.5</x:v>
      </x:c>
      <x:c r="J11" s="65" t="n">
        <x:v>1</x:v>
      </x:c>
      <x:c r="K11" s="65" t="n">
        <x:v>1.5</x:v>
      </x:c>
      <x:c r="L11" s="65" t="n">
        <x:v>2</x:v>
      </x:c>
      <x:c r="M11" s="50"/>
    </x:row>
    <x:row r="12" ht="21" customHeight="1">
      <x:c r="A12" s="50"/>
      <x:c r="B12" s="50"/>
      <x:c r="C12" s="54" t="str">
        <x:v>Baseline driver</x:v>
      </x:c>
      <x:c r="D12" s="54" t="str">
        <x:v>Active</x:v>
      </x:c>
      <x:c r="E12" s="54" t="str">
        <x:v>Demo</x:v>
      </x:c>
      <x:c r="F12" s="54" t="str"/>
      <x:c r="G12" s="65" t="n">
        <x:v>0.5</x:v>
      </x:c>
      <x:c r="H12" s="55" t="n">
        <x:f t="dataTable" ref="H12:L16" dt2D="1" r1="D5" r2="D6"/>
        <x:v>-17550</x:v>
      </x:c>
      <x:c r="I12" s="55" t="n">
        <x:v>-3167.6739110082062</x:v>
      </x:c>
      <x:c r="J12" s="55" t="n">
        <x:v>11591.263251822633</x:v>
      </x:c>
      <x:c r="K12" s="55" t="n">
        <x:v>26733.77864264288</x:v>
      </x:c>
      <x:c r="L12" s="55" t="n">
        <x:v>42266.901080797965</x:v>
      </x:c>
      <x:c r="M12" s="50"/>
    </x:row>
    <x:row r="13" ht="21" customHeight="1">
      <x:c r="A13" s="50"/>
      <x:c r="B13" s="50"/>
      <x:c r="C13" s="50" t="str">
        <x:v>Eligible non-customer sessions / month</x:v>
      </x:c>
      <x:c r="D13" s="66" t="n">
        <x:f>IF($D$8=1,IF(ISNUMBER(E13),E13,"Not supplied"),IF(ISNUMBER('Actual inputs'!D7),'Actual inputs'!D7,"Not supplied"))</x:f>
        <x:v>10000</x:v>
      </x:c>
      <x:c r="E13" s="60" t="n">
        <x:v>10000</x:v>
      </x:c>
      <x:c r="F13" s="50"/>
      <x:c r="G13" s="65" t="n">
        <x:v>0.75</x:v>
      </x:c>
      <x:c r="H13" s="55" t="n">
        <x:v>-26325</x:v>
      </x:c>
      <x:c r="I13" s="55" t="n">
        <x:v>-11942.673911008209</x:v>
      </x:c>
      <x:c r="J13" s="55" t="n">
        <x:v>2816.2632518226346</x:v>
      </x:c>
      <x:c r="K13" s="55" t="n">
        <x:v>17958.77864264288</x:v>
      </x:c>
      <x:c r="L13" s="55" t="n">
        <x:v>33491.901080797965</x:v>
      </x:c>
      <x:c r="M13" s="50"/>
    </x:row>
    <x:row r="14" ht="21" customHeight="1">
      <x:c r="A14" s="50"/>
      <x:c r="B14" s="50"/>
      <x:c r="C14" s="50" t="str">
        <x:v>Monthly session growth</x:v>
      </x:c>
      <x:c r="D14" s="67" t="n">
        <x:f>IF($D$8=1,IF(ISNUMBER(E14),E14,"Not supplied"),IF(ISNUMBER('Actual inputs'!D8),'Actual inputs'!D8,"Not supplied"))</x:f>
        <x:v>0</x:v>
      </x:c>
      <x:c r="E14" s="68" t="n">
        <x:v>0</x:v>
      </x:c>
      <x:c r="F14" s="50"/>
      <x:c r="G14" s="65" t="n">
        <x:v>1</x:v>
      </x:c>
      <x:c r="H14" s="55" t="n">
        <x:v>-35100</x:v>
      </x:c>
      <x:c r="I14" s="55" t="n">
        <x:v>-20717.67391100821</x:v>
      </x:c>
      <x:c r="J14" s="55" t="n">
        <x:v>-5958.7367481773645</x:v>
      </x:c>
      <x:c r="K14" s="55" t="n">
        <x:v>9183.77864264288</x:v>
      </x:c>
      <x:c r="L14" s="55" t="n">
        <x:v>24716.901080797965</x:v>
      </x:c>
      <x:c r="M14" s="50"/>
    </x:row>
    <x:row r="15" ht="21" customHeight="1">
      <x:c r="A15" s="50"/>
      <x:c r="B15" s="50"/>
      <x:c r="C15" s="50" t="str">
        <x:v>New-buyer conversion</x:v>
      </x:c>
      <x:c r="D15" s="67" t="n">
        <x:f>IF($D$8=1,IF(ISNUMBER(E15),E15,"Not supplied"),IF(ISNUMBER('Actual inputs'!D9),'Actual inputs'!D9,"Not supplied"))</x:f>
        <x:v>0.02</x:v>
      </x:c>
      <x:c r="E15" s="68" t="n">
        <x:v>0.02</x:v>
      </x:c>
      <x:c r="F15" s="50"/>
      <x:c r="G15" s="65" t="n">
        <x:v>1.25</x:v>
      </x:c>
      <x:c r="H15" s="55" t="n">
        <x:v>-43875</x:v>
      </x:c>
      <x:c r="I15" s="55" t="n">
        <x:v>-29492.673911008216</x:v>
      </x:c>
      <x:c r="J15" s="55" t="n">
        <x:v>-14733.736748177364</x:v>
      </x:c>
      <x:c r="K15" s="55" t="n">
        <x:v>408.7786426428784</x:v>
      </x:c>
      <x:c r="L15" s="55" t="n">
        <x:v>15941.901080797968</x:v>
      </x:c>
      <x:c r="M15" s="50"/>
    </x:row>
    <x:row r="16" ht="21" customHeight="1">
      <x:c r="A16" s="50"/>
      <x:c r="B16" s="50"/>
      <x:c r="C16" s="50" t="str">
        <x:v>Opening active prior-buyer pool</x:v>
      </x:c>
      <x:c r="D16" s="66" t="n">
        <x:f>IF($D$8=1,IF(ISNUMBER(E16),E16,"Not supplied"),IF(ISNUMBER('Actual inputs'!D10),'Actual inputs'!D10,"Not supplied"))</x:f>
        <x:v>1000</x:v>
      </x:c>
      <x:c r="E16" s="60" t="n">
        <x:v>1000</x:v>
      </x:c>
      <x:c r="F16" s="50"/>
      <x:c r="G16" s="65" t="n">
        <x:v>1.5</x:v>
      </x:c>
      <x:c r="H16" s="55" t="n">
        <x:v>-52650</x:v>
      </x:c>
      <x:c r="I16" s="55" t="n">
        <x:v>-38267.67391100821</x:v>
      </x:c>
      <x:c r="J16" s="55" t="n">
        <x:v>-23508.73674817736</x:v>
      </x:c>
      <x:c r="K16" s="55" t="n">
        <x:v>-8366.22135735712</x:v>
      </x:c>
      <x:c r="L16" s="55" t="n">
        <x:v>7166.901080797969</x:v>
      </x:c>
      <x:c r="M16" s="50"/>
    </x:row>
    <x:row r="17" ht="21" customHeight="1">
      <x:c r="A17" s="50"/>
      <x:c r="B17" s="50"/>
      <x:c r="C17" s="50" t="str">
        <x:v>Monthly repeat orders / active buyer</x:v>
      </x:c>
      <x:c r="D17" s="67" t="n">
        <x:f>IF($D$8=1,IF(ISNUMBER(E17),E17,"Not supplied"),IF(ISNUMBER('Actual inputs'!D11),'Actual inputs'!D11,"Not supplied"))</x:f>
        <x:v>0.04</x:v>
      </x:c>
      <x:c r="E17" s="68" t="n">
        <x:v>0.04</x:v>
      </x:c>
      <x:c r="F17" s="50"/>
      <x:c r="G17" s="50"/>
      <x:c r="H17" s="50"/>
      <x:c r="I17" s="50"/>
      <x:c r="J17" s="50"/>
      <x:c r="K17" s="50"/>
      <x:c r="L17" s="50"/>
      <x:c r="M17" s="50"/>
    </x:row>
    <x:row r="18" ht="21" customHeight="1">
      <x:c r="A18" s="50"/>
      <x:c r="B18" s="50"/>
      <x:c r="C18" s="50" t="str">
        <x:v>Monthly active-pool attrition</x:v>
      </x:c>
      <x:c r="D18" s="67" t="n">
        <x:f>IF($D$8=1,IF(ISNUMBER(E18),E18,"Not supplied"),IF(ISNUMBER('Actual inputs'!D12),'Actual inputs'!D12,"Not supplied"))</x:f>
        <x:v>0.02</x:v>
      </x:c>
      <x:c r="E18" s="68" t="n">
        <x:v>0.02</x:v>
      </x:c>
      <x:c r="F18" s="50"/>
      <x:c r="G18" s="50" t="str">
        <x:v>Benefit multiplier across; cost multiplier down.</x:v>
      </x:c>
      <x:c r="H18" s="50"/>
      <x:c r="I18" s="50"/>
      <x:c r="J18" s="50"/>
      <x:c r="K18" s="50"/>
      <x:c r="L18" s="50"/>
      <x:c r="M18" s="50"/>
    </x:row>
    <x:row r="19" ht="21" customHeight="1">
      <x:c r="A19" s="50"/>
      <x:c r="B19" s="50"/>
      <x:c r="C19" s="50" t="str">
        <x:v>D2C basket after discounts, before refunds</x:v>
      </x:c>
      <x:c r="D19" s="69" t="n">
        <x:f>IF($D$8=1,IF(ISNUMBER(E19),E19,"Not supplied"),IF(ISNUMBER('Actual inputs'!D13),'Actual inputs'!D13,"Not supplied"))</x:f>
        <x:v>80</x:v>
      </x:c>
      <x:c r="E19" s="70" t="n">
        <x:v>80</x:v>
      </x:c>
      <x:c r="F19" s="50"/>
      <x:c r="G19" s="50" t="str">
        <x:v>No benefit (0) eliminates every assumed commercial uplift.</x:v>
      </x:c>
      <x:c r="H19" s="50"/>
      <x:c r="I19" s="50"/>
      <x:c r="J19" s="50"/>
      <x:c r="K19" s="50"/>
      <x:c r="L19" s="50"/>
      <x:c r="M19" s="50"/>
    </x:row>
    <x:row r="20" ht="21" customHeight="1">
      <x:c r="A20" s="50"/>
      <x:c r="B20" s="50"/>
      <x:c r="C20" s="50" t="str">
        <x:v>Merchandise refund fraction</x:v>
      </x:c>
      <x:c r="D20" s="67" t="n">
        <x:f>IF($D$8=1,IF(ISNUMBER(E20),E20,"Not supplied"),IF(ISNUMBER('Actual inputs'!D14),'Actual inputs'!D14,"Not supplied"))</x:f>
        <x:v>0.04</x:v>
      </x:c>
      <x:c r="E20" s="68" t="n">
        <x:v>0.04</x:v>
      </x:c>
      <x:c r="F20" s="50"/>
      <x:c r="G20" s="50" t="str">
        <x:v>Refresh in Excel with Automatic calculation, including Data Tables.</x:v>
      </x:c>
      <x:c r="H20" s="50"/>
      <x:c r="I20" s="50"/>
      <x:c r="J20" s="50"/>
      <x:c r="K20" s="50"/>
      <x:c r="L20" s="50"/>
      <x:c r="M20" s="50"/>
    </x:row>
    <x:row r="21" ht="21" customHeight="1">
      <x:c r="A21" s="50"/>
      <x:c r="B21" s="50"/>
      <x:c r="C21" s="50" t="str">
        <x:v>Product cost / gross merchandise</x:v>
      </x:c>
      <x:c r="D21" s="67" t="n">
        <x:f>IF($D$8=1,IF(ISNUMBER(E21),E21,"Not supplied"),IF(ISNUMBER('Actual inputs'!D15),'Actual inputs'!D15,"Not supplied"))</x:f>
        <x:v>0.3</x:v>
      </x:c>
      <x:c r="E21" s="68" t="n">
        <x:v>0.3</x:v>
      </x:c>
      <x:c r="F21" s="50"/>
      <x:c r="G21" s="50"/>
      <x:c r="H21" s="50"/>
      <x:c r="I21" s="50"/>
      <x:c r="J21" s="50"/>
      <x:c r="K21" s="50"/>
      <x:c r="L21" s="50"/>
      <x:c r="M21" s="50"/>
    </x:row>
    <x:row r="22" ht="21" customHeight="1">
      <x:c r="A22" s="50"/>
      <x:c r="B22" s="50"/>
      <x:c r="C22" s="50" t="str">
        <x:v>Fulfilment / order</x:v>
      </x:c>
      <x:c r="D22" s="69" t="n">
        <x:f>IF($D$8=1,IF(ISNUMBER(E22),E22,"Not supplied"),IF(ISNUMBER('Actual inputs'!D16),'Actual inputs'!D16,"Not supplied"))</x:f>
        <x:v>5</x:v>
      </x:c>
      <x:c r="E22" s="70" t="n">
        <x:v>5</x:v>
      </x:c>
      <x:c r="F22" s="50"/>
      <x:c r="G22" s="50"/>
      <x:c r="H22" s="50"/>
      <x:c r="I22" s="50"/>
      <x:c r="J22" s="50"/>
      <x:c r="K22" s="50"/>
      <x:c r="L22" s="50"/>
      <x:c r="M22" s="50"/>
    </x:row>
    <x:row r="23" ht="21" customHeight="1">
      <x:c r="A23" s="50"/>
      <x:c r="B23" s="50"/>
      <x:c r="C23" s="50" t="str">
        <x:v>Payment + commission / gross merchandise</x:v>
      </x:c>
      <x:c r="D23" s="67" t="n">
        <x:f>IF($D$8=1,IF(ISNUMBER(E23),E23,"Not supplied"),IF(ISNUMBER('Actual inputs'!D17),'Actual inputs'!D17,"Not supplied"))</x:f>
        <x:v>0.03</x:v>
      </x:c>
      <x:c r="E23" s="68" t="n">
        <x:v>0.03</x:v>
      </x:c>
      <x:c r="F23" s="50"/>
      <x:c r="G23" s="50"/>
      <x:c r="H23" s="50"/>
      <x:c r="I23" s="50"/>
      <x:c r="J23" s="50"/>
      <x:c r="K23" s="50"/>
      <x:c r="L23" s="50"/>
      <x:c r="M23" s="50"/>
    </x:row>
    <x:row r="24" ht="21" customHeight="1">
      <x:c r="A24" s="50"/>
      <x:c r="B24" s="50"/>
      <x:c r="C24" s="50" t="str">
        <x:v>Variable service / order</x:v>
      </x:c>
      <x:c r="D24" s="69" t="n">
        <x:f>IF($D$8=1,IF(ISNUMBER(E24),E24,"Not supplied"),IF(ISNUMBER('Actual inputs'!D18),'Actual inputs'!D18,"Not supplied"))</x:f>
        <x:v>1</x:v>
      </x:c>
      <x:c r="E24" s="70" t="n">
        <x:v>1</x:v>
      </x:c>
      <x:c r="F24" s="50"/>
      <x:c r="G24" s="50"/>
      <x:c r="H24" s="50"/>
      <x:c r="I24" s="50"/>
      <x:c r="J24" s="50"/>
      <x:c r="K24" s="50"/>
      <x:c r="L24" s="50"/>
      <x:c r="M24" s="50"/>
    </x:row>
    <x:row r="25" ht="21" customHeight="1">
      <x:c r="A25" s="50"/>
      <x:c r="B25" s="50"/>
      <x:c r="C25" s="50" t="str">
        <x:v>Baseline monthly acquisition spend</x:v>
      </x:c>
      <x:c r="D25" s="69" t="n">
        <x:f>IF($D$8=1,IF(ISNUMBER(E25),E25,"Not supplied"),IF(ISNUMBER('Actual inputs'!D19),'Actual inputs'!D19,"Not supplied"))</x:f>
        <x:v>2000</x:v>
      </x:c>
      <x:c r="E25" s="70" t="n">
        <x:v>2000</x:v>
      </x:c>
      <x:c r="F25" s="50"/>
      <x:c r="G25" s="50"/>
      <x:c r="H25" s="50"/>
      <x:c r="I25" s="50"/>
      <x:c r="J25" s="50"/>
      <x:c r="K25" s="50"/>
      <x:c r="L25" s="50"/>
      <x:c r="M25" s="50"/>
    </x:row>
    <x:row r="26" ht="21" customHeight="1">
      <x:c r="A26" s="50"/>
      <x:c r="B26" s="50"/>
      <x:c r="C26" s="50" t="str">
        <x:v>Baseline fixed monthly operating costs</x:v>
      </x:c>
      <x:c r="D26" s="69" t="n">
        <x:f>IF($D$8=1,IF(ISNUMBER(E26),E26,"Not supplied"),IF(ISNUMBER('Actual inputs'!D20),'Actual inputs'!D20,"Not supplied"))</x:f>
        <x:v>6000</x:v>
      </x:c>
      <x:c r="E26" s="70" t="n">
        <x:v>6000</x:v>
      </x:c>
      <x:c r="F26" s="50"/>
      <x:c r="G26" s="50"/>
      <x:c r="H26" s="50"/>
      <x:c r="I26" s="50"/>
      <x:c r="J26" s="50"/>
      <x:c r="K26" s="50"/>
      <x:c r="L26" s="50"/>
      <x:c r="M26" s="50"/>
    </x:row>
    <x:row r="27" ht="21" customHeight="1">
      <x:c r="A27" s="50"/>
      <x:c r="B27" s="50"/>
      <x:c r="C27" s="50" t="str">
        <x:v>Baseline B2B monthly net sales</x:v>
      </x:c>
      <x:c r="D27" s="69" t="n">
        <x:f>IF($D$8=1,IF(ISNUMBER(E27),E27,"Not supplied"),IF(ISNUMBER('Actual inputs'!D21),'Actual inputs'!D21,"Not supplied"))</x:f>
        <x:v>5000</x:v>
      </x:c>
      <x:c r="E27" s="70" t="n">
        <x:v>5000</x:v>
      </x:c>
      <x:c r="F27" s="50"/>
      <x:c r="G27" s="50"/>
      <x:c r="H27" s="50"/>
      <x:c r="I27" s="50"/>
      <x:c r="J27" s="50"/>
      <x:c r="K27" s="50"/>
      <x:c r="L27" s="50"/>
      <x:c r="M27" s="50"/>
    </x:row>
    <x:row r="28" ht="21" customHeight="1">
      <x:c r="A28" s="50"/>
      <x:c r="B28" s="50"/>
      <x:c r="C28" s="50" t="str">
        <x:v>B2B contribution margin</x:v>
      </x:c>
      <x:c r="D28" s="67" t="n">
        <x:f>IF($D$8=1,IF(ISNUMBER(E28),E28,"Not supplied"),IF(ISNUMBER('Actual inputs'!D22),'Actual inputs'!D22,"Not supplied"))</x:f>
        <x:v>0.45</x:v>
      </x:c>
      <x:c r="E28" s="68" t="n">
        <x:v>0.45</x:v>
      </x:c>
      <x:c r="F28" s="50"/>
      <x:c r="G28" s="50"/>
      <x:c r="H28" s="50"/>
      <x:c r="I28" s="50"/>
      <x:c r="J28" s="50"/>
      <x:c r="K28" s="50"/>
      <x:c r="L28" s="50"/>
      <x:c r="M28" s="50"/>
    </x:row>
    <x:row r="29" ht="21" customHeight="1">
      <x:c r="A29" s="50"/>
      <x:c r="B29" s="50"/>
      <x:c r="C29" s="50" t="str">
        <x:v>B2B collection delay, whole months</x:v>
      </x:c>
      <x:c r="D29" s="66" t="n">
        <x:f>IF($D$8=1,IF(ISNUMBER(E29),E29,"Not supplied"),IF(ISNUMBER('Actual inputs'!D23),'Actual inputs'!D23,"Not supplied"))</x:f>
        <x:v>1</x:v>
      </x:c>
      <x:c r="E29" s="60" t="n">
        <x:v>1</x:v>
      </x:c>
      <x:c r="F29" s="50"/>
      <x:c r="G29" s="50"/>
      <x:c r="H29" s="50"/>
      <x:c r="I29" s="50"/>
      <x:c r="J29" s="50"/>
      <x:c r="K29" s="50"/>
      <x:c r="L29" s="50"/>
      <x:c r="M29" s="50"/>
    </x:row>
    <x:row r="30" ht="21" customHeight="1">
      <x:c r="A30" s="50"/>
      <x:c r="B30" s="50"/>
      <x:c r="C30" s="50" t="str">
        <x:v>Cost funding buffer, months</x:v>
      </x:c>
      <x:c r="D30" s="71" t="n">
        <x:f>IF($D$8=1,IF(ISNUMBER(E30),E30,"Not supplied"),IF(ISNUMBER('Actual inputs'!D24),'Actual inputs'!D24,"Not supplied"))</x:f>
        <x:v>0.5</x:v>
      </x:c>
      <x:c r="E30" s="72" t="n">
        <x:v>0.5</x:v>
      </x:c>
      <x:c r="F30" s="50"/>
      <x:c r="G30" s="50"/>
      <x:c r="H30" s="50"/>
      <x:c r="I30" s="50"/>
      <x:c r="J30" s="50"/>
      <x:c r="K30" s="50"/>
      <x:c r="L30" s="50"/>
      <x:c r="M30" s="50"/>
    </x:row>
    <x:row r="31" ht="21" customHeight="1">
      <x:c r="A31" s="50"/>
      <x:c r="B31" s="50"/>
      <x:c r="C31" s="50" t="str">
        <x:v>Annual discount rate</x:v>
      </x:c>
      <x:c r="D31" s="67" t="n">
        <x:f>IF($D$8=1,IF(ISNUMBER(E31),E31,"Not supplied"),IF(ISNUMBER('Actual inputs'!D25),'Actual inputs'!D25,"Not supplied"))</x:f>
        <x:v>0.12</x:v>
      </x:c>
      <x:c r="E31" s="68" t="n">
        <x:v>0.12</x:v>
      </x:c>
      <x:c r="F31" s="50"/>
      <x:c r="G31" s="50"/>
      <x:c r="H31" s="50"/>
      <x:c r="I31" s="50"/>
      <x:c r="J31" s="50"/>
      <x:c r="K31" s="50"/>
      <x:c r="L31" s="50"/>
      <x:c r="M31" s="50"/>
    </x:row>
    <x:row r="32" ht="21" customHeight="1">
      <x:c r="A32" s="50"/>
      <x:c r="B32" s="50"/>
      <x:c r="C32" s="50"/>
      <x:c r="D32" s="50"/>
      <x:c r="E32" s="50"/>
      <x:c r="F32" s="50"/>
      <x:c r="G32" s="50"/>
      <x:c r="H32" s="50"/>
      <x:c r="I32" s="50"/>
      <x:c r="J32" s="50"/>
      <x:c r="K32" s="50"/>
      <x:c r="L32" s="50"/>
      <x:c r="M32" s="50"/>
    </x:row>
    <x:row r="33" ht="21" customHeight="1">
      <x:c r="A33" s="50"/>
      <x:c r="B33" s="50"/>
      <x:c r="C33" s="50"/>
      <x:c r="D33" s="50"/>
      <x:c r="E33" s="50"/>
      <x:c r="F33" s="50"/>
      <x:c r="G33" s="50"/>
      <x:c r="H33" s="50"/>
      <x:c r="I33" s="50"/>
      <x:c r="J33" s="50"/>
      <x:c r="K33" s="50"/>
      <x:c r="L33" s="50"/>
      <x:c r="M33" s="50"/>
    </x:row>
    <x:row r="34" ht="21" customHeight="1">
      <x:c r="A34" s="50"/>
      <x:c r="B34" s="50"/>
      <x:c r="C34" s="50"/>
      <x:c r="D34" s="50"/>
      <x:c r="E34" s="50"/>
      <x:c r="F34" s="50"/>
      <x:c r="G34" s="50"/>
      <x:c r="H34" s="50"/>
      <x:c r="I34" s="50"/>
      <x:c r="J34" s="50"/>
      <x:c r="K34" s="50"/>
      <x:c r="L34" s="50"/>
      <x:c r="M34" s="50"/>
    </x:row>
    <x:row r="35" ht="21" customHeight="1">
      <x:c r="A35" s="50"/>
      <x:c r="B35" s="50"/>
      <x:c r="C35" s="56" t="str">
        <x:v>Launch month | Active</x:v>
      </x:c>
      <x:c r="D35" s="73" t="n">
        <x:f>IF(CHOOSE($D$4,ISNUMBER(D36),ISNUMBER(D37),ISNUMBER(D38)),CHOOSE($D$4,D36,D37,D38),"Not supplied")</x:f>
        <x:v>3</x:v>
      </x:c>
      <x:c r="E35" s="56"/>
      <x:c r="F35" s="50"/>
      <x:c r="G35" s="50" t="str">
        <x:v>First month in 1–24. Beyond 24 = no launch in horizon.</x:v>
      </x:c>
      <x:c r="H35" s="50"/>
      <x:c r="I35" s="50"/>
      <x:c r="J35" s="50"/>
      <x:c r="K35" s="50"/>
      <x:c r="L35" s="50"/>
      <x:c r="M35" s="50"/>
    </x:row>
    <x:row r="36" ht="21" customHeight="1">
      <x:c r="A36" s="50"/>
      <x:c r="B36" s="50"/>
      <x:c r="C36" s="50" t="str">
        <x:v>Low</x:v>
      </x:c>
      <x:c r="D36" s="60" t="n">
        <x:v>5</x:v>
      </x:c>
      <x:c r="E36" s="50"/>
      <x:c r="F36" s="50"/>
      <x:c r="G36" s="50"/>
      <x:c r="H36" s="50"/>
      <x:c r="I36" s="50"/>
      <x:c r="J36" s="50"/>
      <x:c r="K36" s="50"/>
      <x:c r="L36" s="50"/>
      <x:c r="M36" s="50"/>
    </x:row>
    <x:row r="37" ht="21" customHeight="1">
      <x:c r="A37" s="50"/>
      <x:c r="B37" s="50"/>
      <x:c r="C37" s="50" t="str">
        <x:v>Base</x:v>
      </x:c>
      <x:c r="D37" s="60" t="n">
        <x:v>3</x:v>
      </x:c>
      <x:c r="E37" s="50"/>
      <x:c r="F37" s="50"/>
      <x:c r="G37" s="50"/>
      <x:c r="H37" s="50"/>
      <x:c r="I37" s="50"/>
      <x:c r="J37" s="50"/>
      <x:c r="K37" s="50"/>
      <x:c r="L37" s="50"/>
      <x:c r="M37" s="50"/>
    </x:row>
    <x:row r="38" ht="21" customHeight="1">
      <x:c r="A38" s="50"/>
      <x:c r="B38" s="50"/>
      <x:c r="C38" s="50" t="str">
        <x:v>High</x:v>
      </x:c>
      <x:c r="D38" s="60" t="n">
        <x:v>2</x:v>
      </x:c>
      <x:c r="E38" s="50"/>
      <x:c r="F38" s="50"/>
      <x:c r="G38" s="50"/>
      <x:c r="H38" s="50"/>
      <x:c r="I38" s="50"/>
      <x:c r="J38" s="50"/>
      <x:c r="K38" s="50"/>
      <x:c r="L38" s="50"/>
      <x:c r="M38" s="50"/>
    </x:row>
    <x:row r="39" ht="21" customHeight="1">
      <x:c r="A39" s="50"/>
      <x:c r="B39" s="50"/>
      <x:c r="C39" s="50"/>
      <x:c r="D39" s="50"/>
      <x:c r="E39" s="50"/>
      <x:c r="F39" s="50"/>
      <x:c r="G39" s="50"/>
      <x:c r="H39" s="50"/>
      <x:c r="I39" s="50"/>
      <x:c r="J39" s="50"/>
      <x:c r="K39" s="50"/>
      <x:c r="L39" s="50"/>
      <x:c r="M39" s="50"/>
    </x:row>
    <x:row r="40" ht="21" customHeight="1">
      <x:c r="A40" s="50"/>
      <x:c r="B40" s="50"/>
      <x:c r="C40" s="56" t="str">
        <x:v>Ramp months to maximum adoption | Active</x:v>
      </x:c>
      <x:c r="D40" s="73" t="n">
        <x:f>IF(CHOOSE($D$4,ISNUMBER(D41),ISNUMBER(D42),ISNUMBER(D43)),CHOOSE($D$4,D41,D42,D43),"Not supplied")</x:f>
        <x:v>4</x:v>
      </x:c>
      <x:c r="E40" s="56"/>
      <x:c r="F40" s="50"/>
      <x:c r="G40" s="50" t="str">
        <x:v>At least one month; linear ramp from launch.</x:v>
      </x:c>
      <x:c r="H40" s="50"/>
      <x:c r="I40" s="50"/>
      <x:c r="J40" s="50"/>
      <x:c r="K40" s="50"/>
      <x:c r="L40" s="50"/>
      <x:c r="M40" s="50"/>
    </x:row>
    <x:row r="41" ht="21" customHeight="1">
      <x:c r="A41" s="50"/>
      <x:c r="B41" s="50"/>
      <x:c r="C41" s="50" t="str">
        <x:v>Low</x:v>
      </x:c>
      <x:c r="D41" s="60" t="n">
        <x:v>6</x:v>
      </x:c>
      <x:c r="E41" s="50"/>
      <x:c r="F41" s="50"/>
      <x:c r="G41" s="50"/>
      <x:c r="H41" s="50"/>
      <x:c r="I41" s="50"/>
      <x:c r="J41" s="50"/>
      <x:c r="K41" s="50"/>
      <x:c r="L41" s="50"/>
      <x:c r="M41" s="50"/>
    </x:row>
    <x:row r="42" ht="21" customHeight="1">
      <x:c r="A42" s="50"/>
      <x:c r="B42" s="50"/>
      <x:c r="C42" s="50" t="str">
        <x:v>Base</x:v>
      </x:c>
      <x:c r="D42" s="60" t="n">
        <x:v>4</x:v>
      </x:c>
      <x:c r="E42" s="50"/>
      <x:c r="F42" s="50"/>
      <x:c r="G42" s="50"/>
      <x:c r="H42" s="50"/>
      <x:c r="I42" s="50"/>
      <x:c r="J42" s="50"/>
      <x:c r="K42" s="50"/>
      <x:c r="L42" s="50"/>
      <x:c r="M42" s="50"/>
    </x:row>
    <x:row r="43" ht="21" customHeight="1">
      <x:c r="A43" s="50"/>
      <x:c r="B43" s="50"/>
      <x:c r="C43" s="50" t="str">
        <x:v>High</x:v>
      </x:c>
      <x:c r="D43" s="60" t="n">
        <x:v>3</x:v>
      </x:c>
      <x:c r="E43" s="50"/>
      <x:c r="F43" s="50"/>
      <x:c r="G43" s="50"/>
      <x:c r="H43" s="50"/>
      <x:c r="I43" s="50"/>
      <x:c r="J43" s="50"/>
      <x:c r="K43" s="50"/>
      <x:c r="L43" s="50"/>
      <x:c r="M43" s="50"/>
    </x:row>
    <x:row r="44" ht="21" customHeight="1">
      <x:c r="A44" s="50"/>
      <x:c r="B44" s="50"/>
      <x:c r="C44" s="50"/>
      <x:c r="D44" s="50"/>
      <x:c r="E44" s="50"/>
      <x:c r="F44" s="50"/>
      <x:c r="G44" s="50"/>
      <x:c r="H44" s="50"/>
      <x:c r="I44" s="50"/>
      <x:c r="J44" s="50"/>
      <x:c r="K44" s="50"/>
      <x:c r="L44" s="50"/>
      <x:c r="M44" s="50"/>
    </x:row>
    <x:row r="45" ht="21" customHeight="1">
      <x:c r="A45" s="50"/>
      <x:c r="B45" s="50"/>
      <x:c r="C45" s="56" t="str">
        <x:v>Maximum eligible adoption | Active</x:v>
      </x:c>
      <x:c r="D45" s="74" t="n">
        <x:f>IF(CHOOSE($D$4,ISNUMBER(D46),ISNUMBER(D47),ISNUMBER(D48)),CHOOSE($D$4,D46,D47,D48),"Not supplied")</x:f>
        <x:v>0.6</x:v>
      </x:c>
      <x:c r="E45" s="56"/>
      <x:c r="F45" s="50"/>
      <x:c r="G45" s="50" t="str">
        <x:v>Fraction reached at saturation, not all visitors.</x:v>
      </x:c>
      <x:c r="H45" s="50"/>
      <x:c r="I45" s="50"/>
      <x:c r="J45" s="50"/>
      <x:c r="K45" s="50"/>
      <x:c r="L45" s="50"/>
      <x:c r="M45" s="50"/>
    </x:row>
    <x:row r="46" ht="21" customHeight="1">
      <x:c r="A46" s="50"/>
      <x:c r="B46" s="50"/>
      <x:c r="C46" s="50" t="str">
        <x:v>Low</x:v>
      </x:c>
      <x:c r="D46" s="68" t="n">
        <x:v>0.35</x:v>
      </x:c>
      <x:c r="E46" s="50"/>
      <x:c r="F46" s="50"/>
      <x:c r="G46" s="50"/>
      <x:c r="H46" s="50"/>
      <x:c r="I46" s="50"/>
      <x:c r="J46" s="50"/>
      <x:c r="K46" s="50"/>
      <x:c r="L46" s="50"/>
      <x:c r="M46" s="50"/>
    </x:row>
    <x:row r="47" ht="21" customHeight="1">
      <x:c r="A47" s="50"/>
      <x:c r="B47" s="50"/>
      <x:c r="C47" s="50" t="str">
        <x:v>Base</x:v>
      </x:c>
      <x:c r="D47" s="68" t="n">
        <x:v>0.6</x:v>
      </x:c>
      <x:c r="E47" s="50"/>
      <x:c r="F47" s="50"/>
      <x:c r="G47" s="50"/>
      <x:c r="H47" s="50"/>
      <x:c r="I47" s="50"/>
      <x:c r="J47" s="50"/>
      <x:c r="K47" s="50"/>
      <x:c r="L47" s="50"/>
      <x:c r="M47" s="50"/>
    </x:row>
    <x:row r="48" ht="21" customHeight="1">
      <x:c r="A48" s="50"/>
      <x:c r="B48" s="50"/>
      <x:c r="C48" s="50" t="str">
        <x:v>High</x:v>
      </x:c>
      <x:c r="D48" s="68" t="n">
        <x:v>0.8</x:v>
      </x:c>
      <x:c r="E48" s="50"/>
      <x:c r="F48" s="50"/>
      <x:c r="G48" s="50"/>
      <x:c r="H48" s="50"/>
      <x:c r="I48" s="50"/>
      <x:c r="J48" s="50"/>
      <x:c r="K48" s="50"/>
      <x:c r="L48" s="50"/>
      <x:c r="M48" s="50"/>
    </x:row>
    <x:row r="49" ht="21" customHeight="1">
      <x:c r="A49" s="50"/>
      <x:c r="B49" s="50"/>
      <x:c r="C49" s="50"/>
      <x:c r="D49" s="50"/>
      <x:c r="E49" s="50"/>
      <x:c r="F49" s="50"/>
      <x:c r="G49" s="50"/>
      <x:c r="H49" s="50"/>
      <x:c r="I49" s="50"/>
      <x:c r="J49" s="50"/>
      <x:c r="K49" s="50"/>
      <x:c r="L49" s="50"/>
      <x:c r="M49" s="50"/>
    </x:row>
    <x:row r="50" ht="21" customHeight="1">
      <x:c r="A50" s="50"/>
      <x:c r="B50" s="50"/>
      <x:c r="C50" s="56" t="str">
        <x:v>Traffic relative lift at full adoption | Active</x:v>
      </x:c>
      <x:c r="D50" s="74" t="n">
        <x:f>IF(CHOOSE($D$4,ISNUMBER(D51),ISNUMBER(D52),ISNUMBER(D53)),CHOOSE($D$4,D51,D52,D53),"Not supplied")</x:f>
        <x:v>0.06</x:v>
      </x:c>
      <x:c r="E50" s="56"/>
      <x:c r="F50" s="50"/>
      <x:c r="G50" s="50" t="str">
        <x:v>Incremental eligible sessions; no causal prediction.</x:v>
      </x:c>
      <x:c r="H50" s="50"/>
      <x:c r="I50" s="50"/>
      <x:c r="J50" s="50"/>
      <x:c r="K50" s="50"/>
      <x:c r="L50" s="50"/>
      <x:c r="M50" s="50"/>
    </x:row>
    <x:row r="51" ht="21" customHeight="1">
      <x:c r="A51" s="50"/>
      <x:c r="B51" s="50"/>
      <x:c r="C51" s="50" t="str">
        <x:v>Low</x:v>
      </x:c>
      <x:c r="D51" s="68" t="n">
        <x:v>0</x:v>
      </x:c>
      <x:c r="E51" s="50"/>
      <x:c r="F51" s="50"/>
      <x:c r="G51" s="50"/>
      <x:c r="H51" s="50"/>
      <x:c r="I51" s="50"/>
      <x:c r="J51" s="50"/>
      <x:c r="K51" s="50"/>
      <x:c r="L51" s="50"/>
      <x:c r="M51" s="50"/>
    </x:row>
    <x:row r="52" ht="21" customHeight="1">
      <x:c r="A52" s="50"/>
      <x:c r="B52" s="50"/>
      <x:c r="C52" s="50" t="str">
        <x:v>Base</x:v>
      </x:c>
      <x:c r="D52" s="68" t="n">
        <x:v>0.06</x:v>
      </x:c>
      <x:c r="E52" s="50"/>
      <x:c r="F52" s="50"/>
      <x:c r="G52" s="50"/>
      <x:c r="H52" s="50"/>
      <x:c r="I52" s="50"/>
      <x:c r="J52" s="50"/>
      <x:c r="K52" s="50"/>
      <x:c r="L52" s="50"/>
      <x:c r="M52" s="50"/>
    </x:row>
    <x:row r="53" ht="21" customHeight="1">
      <x:c r="A53" s="50"/>
      <x:c r="B53" s="50"/>
      <x:c r="C53" s="50" t="str">
        <x:v>High</x:v>
      </x:c>
      <x:c r="D53" s="68" t="n">
        <x:v>0.12</x:v>
      </x:c>
      <x:c r="E53" s="50"/>
      <x:c r="F53" s="50"/>
      <x:c r="G53" s="50"/>
      <x:c r="H53" s="50"/>
      <x:c r="I53" s="50"/>
      <x:c r="J53" s="50"/>
      <x:c r="K53" s="50"/>
      <x:c r="L53" s="50"/>
      <x:c r="M53" s="50"/>
    </x:row>
    <x:row r="54" ht="21" customHeight="1">
      <x:c r="A54" s="50"/>
      <x:c r="B54" s="50"/>
      <x:c r="C54" s="50"/>
      <x:c r="D54" s="50"/>
      <x:c r="E54" s="50"/>
      <x:c r="F54" s="50"/>
      <x:c r="G54" s="50"/>
      <x:c r="H54" s="50"/>
      <x:c r="I54" s="50"/>
      <x:c r="J54" s="50"/>
      <x:c r="K54" s="50"/>
      <x:c r="L54" s="50"/>
      <x:c r="M54" s="50"/>
    </x:row>
    <x:row r="55" ht="21" customHeight="1">
      <x:c r="A55" s="50"/>
      <x:c r="B55" s="50"/>
      <x:c r="C55" s="56" t="str">
        <x:v>Conversion relative lift at full adoption | Active</x:v>
      </x:c>
      <x:c r="D55" s="74" t="n">
        <x:f>IF(CHOOSE($D$4,ISNUMBER(D56),ISNUMBER(D57),ISNUMBER(D58)),CHOOSE($D$4,D56,D57,D58),"Not supplied")</x:f>
        <x:v>0.08</x:v>
      </x:c>
      <x:c r="E55" s="56"/>
      <x:c r="F55" s="50"/>
      <x:c r="G55" s="50" t="str">
        <x:v>A 10% lift on 2% = 2.2%, not 12%.</x:v>
      </x:c>
      <x:c r="H55" s="50"/>
      <x:c r="I55" s="50"/>
      <x:c r="J55" s="50"/>
      <x:c r="K55" s="50"/>
      <x:c r="L55" s="50"/>
      <x:c r="M55" s="50"/>
    </x:row>
    <x:row r="56" ht="21" customHeight="1">
      <x:c r="A56" s="50"/>
      <x:c r="B56" s="50"/>
      <x:c r="C56" s="50" t="str">
        <x:v>Low</x:v>
      </x:c>
      <x:c r="D56" s="68" t="n">
        <x:v>-0.03</x:v>
      </x:c>
      <x:c r="E56" s="50"/>
      <x:c r="F56" s="50"/>
      <x:c r="G56" s="50"/>
      <x:c r="H56" s="50"/>
      <x:c r="I56" s="50"/>
      <x:c r="J56" s="50"/>
      <x:c r="K56" s="50"/>
      <x:c r="L56" s="50"/>
      <x:c r="M56" s="50"/>
    </x:row>
    <x:row r="57" ht="21" customHeight="1">
      <x:c r="A57" s="50"/>
      <x:c r="B57" s="50"/>
      <x:c r="C57" s="50" t="str">
        <x:v>Base</x:v>
      </x:c>
      <x:c r="D57" s="68" t="n">
        <x:v>0.08</x:v>
      </x:c>
      <x:c r="E57" s="50"/>
      <x:c r="F57" s="50"/>
      <x:c r="G57" s="50"/>
      <x:c r="H57" s="50"/>
      <x:c r="I57" s="50"/>
      <x:c r="J57" s="50"/>
      <x:c r="K57" s="50"/>
      <x:c r="L57" s="50"/>
      <x:c r="M57" s="50"/>
    </x:row>
    <x:row r="58" ht="21" customHeight="1">
      <x:c r="A58" s="50"/>
      <x:c r="B58" s="50"/>
      <x:c r="C58" s="50" t="str">
        <x:v>High</x:v>
      </x:c>
      <x:c r="D58" s="68" t="n">
        <x:v>0.15</x:v>
      </x:c>
      <x:c r="E58" s="50"/>
      <x:c r="F58" s="50"/>
      <x:c r="G58" s="50"/>
      <x:c r="H58" s="50"/>
      <x:c r="I58" s="50"/>
      <x:c r="J58" s="50"/>
      <x:c r="K58" s="50"/>
      <x:c r="L58" s="50"/>
      <x:c r="M58" s="50"/>
    </x:row>
    <x:row r="59" ht="21" customHeight="1">
      <x:c r="A59" s="50"/>
      <x:c r="B59" s="50"/>
      <x:c r="C59" s="50"/>
      <x:c r="D59" s="50"/>
      <x:c r="E59" s="50"/>
      <x:c r="F59" s="50"/>
      <x:c r="G59" s="50"/>
      <x:c r="H59" s="50"/>
      <x:c r="I59" s="50"/>
      <x:c r="J59" s="50"/>
      <x:c r="K59" s="50"/>
      <x:c r="L59" s="50"/>
      <x:c r="M59" s="50"/>
    </x:row>
    <x:row r="60" ht="21" customHeight="1">
      <x:c r="A60" s="50"/>
      <x:c r="B60" s="50"/>
      <x:c r="C60" s="56" t="str">
        <x:v>Repeat frequency increase, percentage points | Active</x:v>
      </x:c>
      <x:c r="D60" s="74" t="n">
        <x:f>IF(CHOOSE($D$4,ISNUMBER(D61),ISNUMBER(D62),ISNUMBER(D63)),CHOOSE($D$4,D61,D62,D63),"Not supplied")</x:f>
        <x:v>0.005</x:v>
      </x:c>
      <x:c r="E60" s="56"/>
      <x:c r="F60" s="50"/>
      <x:c r="G60" s="50" t="str">
        <x:v>Additive monthly order frequency increment.</x:v>
      </x:c>
      <x:c r="H60" s="50"/>
      <x:c r="I60" s="50"/>
      <x:c r="J60" s="50"/>
      <x:c r="K60" s="50"/>
      <x:c r="L60" s="50"/>
      <x:c r="M60" s="50"/>
    </x:row>
    <x:row r="61" ht="21" customHeight="1">
      <x:c r="A61" s="50"/>
      <x:c r="B61" s="50"/>
      <x:c r="C61" s="50" t="str">
        <x:v>Low</x:v>
      </x:c>
      <x:c r="D61" s="68" t="n">
        <x:v>0</x:v>
      </x:c>
      <x:c r="E61" s="50"/>
      <x:c r="F61" s="50"/>
      <x:c r="G61" s="50"/>
      <x:c r="H61" s="50"/>
      <x:c r="I61" s="50"/>
      <x:c r="J61" s="50"/>
      <x:c r="K61" s="50"/>
      <x:c r="L61" s="50"/>
      <x:c r="M61" s="50"/>
    </x:row>
    <x:row r="62" ht="21" customHeight="1">
      <x:c r="A62" s="50"/>
      <x:c r="B62" s="50"/>
      <x:c r="C62" s="50" t="str">
        <x:v>Base</x:v>
      </x:c>
      <x:c r="D62" s="68" t="n">
        <x:v>0.005</x:v>
      </x:c>
      <x:c r="E62" s="50"/>
      <x:c r="F62" s="50"/>
      <x:c r="G62" s="50"/>
      <x:c r="H62" s="50"/>
      <x:c r="I62" s="50"/>
      <x:c r="J62" s="50"/>
      <x:c r="K62" s="50"/>
      <x:c r="L62" s="50"/>
      <x:c r="M62" s="50"/>
    </x:row>
    <x:row r="63" ht="21" customHeight="1">
      <x:c r="A63" s="50"/>
      <x:c r="B63" s="50"/>
      <x:c r="C63" s="50" t="str">
        <x:v>High</x:v>
      </x:c>
      <x:c r="D63" s="68" t="n">
        <x:v>0.01</x:v>
      </x:c>
      <x:c r="E63" s="50"/>
      <x:c r="F63" s="50"/>
      <x:c r="G63" s="50"/>
      <x:c r="H63" s="50"/>
      <x:c r="I63" s="50"/>
      <x:c r="J63" s="50"/>
      <x:c r="K63" s="50"/>
      <x:c r="L63" s="50"/>
      <x:c r="M63" s="50"/>
    </x:row>
    <x:row r="64" ht="21" customHeight="1">
      <x:c r="A64" s="50"/>
      <x:c r="B64" s="50"/>
      <x:c r="C64" s="50"/>
      <x:c r="D64" s="50"/>
      <x:c r="E64" s="50"/>
      <x:c r="F64" s="50"/>
      <x:c r="G64" s="50"/>
      <x:c r="H64" s="50"/>
      <x:c r="I64" s="50"/>
      <x:c r="J64" s="50"/>
      <x:c r="K64" s="50"/>
      <x:c r="L64" s="50"/>
      <x:c r="M64" s="50"/>
    </x:row>
    <x:row r="65" ht="21" customHeight="1">
      <x:c r="A65" s="50"/>
      <x:c r="B65" s="50"/>
      <x:c r="C65" s="56" t="str">
        <x:v>Basket relative lift | Active</x:v>
      </x:c>
      <x:c r="D65" s="74" t="n">
        <x:f>IF(CHOOSE($D$4,ISNUMBER(D66),ISNUMBER(D67),ISNUMBER(D68)),CHOOSE($D$4,D66,D67,D68),"Not supplied")</x:f>
        <x:v>0.02</x:v>
      </x:c>
      <x:c r="E65" s="56"/>
      <x:c r="F65" s="50"/>
      <x:c r="G65" s="50" t="str">
        <x:v>No compulsory bundle assumption.</x:v>
      </x:c>
      <x:c r="H65" s="50"/>
      <x:c r="I65" s="50"/>
      <x:c r="J65" s="50"/>
      <x:c r="K65" s="50"/>
      <x:c r="L65" s="50"/>
      <x:c r="M65" s="50"/>
    </x:row>
    <x:row r="66" ht="21" customHeight="1">
      <x:c r="A66" s="50"/>
      <x:c r="B66" s="50"/>
      <x:c r="C66" s="50" t="str">
        <x:v>Low</x:v>
      </x:c>
      <x:c r="D66" s="68" t="n">
        <x:v>0</x:v>
      </x:c>
      <x:c r="E66" s="50"/>
      <x:c r="F66" s="50"/>
      <x:c r="G66" s="50"/>
      <x:c r="H66" s="50"/>
      <x:c r="I66" s="50"/>
      <x:c r="J66" s="50"/>
      <x:c r="K66" s="50"/>
      <x:c r="L66" s="50"/>
      <x:c r="M66" s="50"/>
    </x:row>
    <x:row r="67" ht="21" customHeight="1">
      <x:c r="A67" s="50"/>
      <x:c r="B67" s="50"/>
      <x:c r="C67" s="50" t="str">
        <x:v>Base</x:v>
      </x:c>
      <x:c r="D67" s="68" t="n">
        <x:v>0.02</x:v>
      </x:c>
      <x:c r="E67" s="50"/>
      <x:c r="F67" s="50"/>
      <x:c r="G67" s="50"/>
      <x:c r="H67" s="50"/>
      <x:c r="I67" s="50"/>
      <x:c r="J67" s="50"/>
      <x:c r="K67" s="50"/>
      <x:c r="L67" s="50"/>
      <x:c r="M67" s="50"/>
    </x:row>
    <x:row r="68" ht="21" customHeight="1">
      <x:c r="A68" s="50"/>
      <x:c r="B68" s="50"/>
      <x:c r="C68" s="50" t="str">
        <x:v>High</x:v>
      </x:c>
      <x:c r="D68" s="68" t="n">
        <x:v>0.04</x:v>
      </x:c>
      <x:c r="E68" s="50"/>
      <x:c r="F68" s="50"/>
      <x:c r="G68" s="50"/>
      <x:c r="H68" s="50"/>
      <x:c r="I68" s="50"/>
      <x:c r="J68" s="50"/>
      <x:c r="K68" s="50"/>
      <x:c r="L68" s="50"/>
      <x:c r="M68" s="50"/>
    </x:row>
    <x:row r="69" ht="21" customHeight="1">
      <x:c r="A69" s="50"/>
      <x:c r="B69" s="50"/>
      <x:c r="C69" s="50"/>
      <x:c r="D69" s="50"/>
      <x:c r="E69" s="50"/>
      <x:c r="F69" s="50"/>
      <x:c r="G69" s="50"/>
      <x:c r="H69" s="50"/>
      <x:c r="I69" s="50"/>
      <x:c r="J69" s="50"/>
      <x:c r="K69" s="50"/>
      <x:c r="L69" s="50"/>
      <x:c r="M69" s="50"/>
    </x:row>
    <x:row r="70" ht="21" customHeight="1">
      <x:c r="A70" s="50"/>
      <x:c r="B70" s="50"/>
      <x:c r="C70" s="56" t="str">
        <x:v>Cannibalisation / non-incrementality | Active</x:v>
      </x:c>
      <x:c r="D70" s="74" t="n">
        <x:f>IF(CHOOSE($D$4,ISNUMBER(D71),ISNUMBER(D72),ISNUMBER(D73)),CHOOSE($D$4,D71,D72,D73),"Not supplied")</x:f>
        <x:v>0.2</x:v>
      </x:c>
      <x:c r="E70" s="56"/>
      <x:c r="F70" s="50"/>
      <x:c r="G70" s="50" t="str">
        <x:v>Reduces all benefit channels including partner sales.</x:v>
      </x:c>
      <x:c r="H70" s="50"/>
      <x:c r="I70" s="50"/>
      <x:c r="J70" s="50"/>
      <x:c r="K70" s="50"/>
      <x:c r="L70" s="50"/>
      <x:c r="M70" s="50"/>
    </x:row>
    <x:row r="71" ht="21" customHeight="1">
      <x:c r="A71" s="50"/>
      <x:c r="B71" s="50"/>
      <x:c r="C71" s="50" t="str">
        <x:v>Low</x:v>
      </x:c>
      <x:c r="D71" s="68" t="n">
        <x:v>0.35</x:v>
      </x:c>
      <x:c r="E71" s="50"/>
      <x:c r="F71" s="50"/>
      <x:c r="G71" s="50"/>
      <x:c r="H71" s="50"/>
      <x:c r="I71" s="50"/>
      <x:c r="J71" s="50"/>
      <x:c r="K71" s="50"/>
      <x:c r="L71" s="50"/>
      <x:c r="M71" s="50"/>
    </x:row>
    <x:row r="72" ht="21" customHeight="1">
      <x:c r="A72" s="50"/>
      <x:c r="B72" s="50"/>
      <x:c r="C72" s="50" t="str">
        <x:v>Base</x:v>
      </x:c>
      <x:c r="D72" s="68" t="n">
        <x:v>0.2</x:v>
      </x:c>
      <x:c r="E72" s="50"/>
      <x:c r="F72" s="50"/>
      <x:c r="G72" s="50"/>
      <x:c r="H72" s="50"/>
      <x:c r="I72" s="50"/>
      <x:c r="J72" s="50"/>
      <x:c r="K72" s="50"/>
      <x:c r="L72" s="50"/>
      <x:c r="M72" s="50"/>
    </x:row>
    <x:row r="73" ht="21" customHeight="1">
      <x:c r="A73" s="50"/>
      <x:c r="B73" s="50"/>
      <x:c r="C73" s="50" t="str">
        <x:v>High</x:v>
      </x:c>
      <x:c r="D73" s="68" t="n">
        <x:v>0.1</x:v>
      </x:c>
      <x:c r="E73" s="50"/>
      <x:c r="F73" s="50"/>
      <x:c r="G73" s="50"/>
      <x:c r="H73" s="50"/>
      <x:c r="I73" s="50"/>
      <x:c r="J73" s="50"/>
      <x:c r="K73" s="50"/>
      <x:c r="L73" s="50"/>
      <x:c r="M73" s="50"/>
    </x:row>
    <x:row r="74" ht="21" customHeight="1">
      <x:c r="A74" s="50"/>
      <x:c r="B74" s="50"/>
      <x:c r="C74" s="50"/>
      <x:c r="D74" s="50"/>
      <x:c r="E74" s="50"/>
      <x:c r="F74" s="50"/>
      <x:c r="G74" s="50"/>
      <x:c r="H74" s="50"/>
      <x:c r="I74" s="50"/>
      <x:c r="J74" s="50"/>
      <x:c r="K74" s="50"/>
      <x:c r="L74" s="50"/>
      <x:c r="M74" s="50"/>
    </x:row>
    <x:row r="75" ht="21" customHeight="1">
      <x:c r="A75" s="50"/>
      <x:c r="B75" s="50"/>
      <x:c r="C75" s="56" t="str">
        <x:v>One-off design / research | Active</x:v>
      </x:c>
      <x:c r="D75" s="75" t="n">
        <x:f>IF(CHOOSE($D$4,ISNUMBER(D76),ISNUMBER(D77),ISNUMBER(D78)),CHOOSE($D$4,D76,D77,D78),"Not supplied")</x:f>
        <x:v>1600</x:v>
      </x:c>
      <x:c r="E75" s="56"/>
      <x:c r="F75" s="50"/>
      <x:c r="G75" s="50" t="str">
        <x:v>Illustrative cash cost; include internal time at opportunity cost.</x:v>
      </x:c>
      <x:c r="H75" s="50"/>
      <x:c r="I75" s="50"/>
      <x:c r="J75" s="50"/>
      <x:c r="K75" s="50"/>
      <x:c r="L75" s="50"/>
      <x:c r="M75" s="50"/>
    </x:row>
    <x:row r="76" ht="21" customHeight="1">
      <x:c r="A76" s="50"/>
      <x:c r="B76" s="50"/>
      <x:c r="C76" s="50" t="str">
        <x:v>Low</x:v>
      </x:c>
      <x:c r="D76" s="70" t="n">
        <x:v>2000</x:v>
      </x:c>
      <x:c r="E76" s="50"/>
      <x:c r="F76" s="50"/>
      <x:c r="G76" s="50"/>
      <x:c r="H76" s="50"/>
      <x:c r="I76" s="50"/>
      <x:c r="J76" s="50"/>
      <x:c r="K76" s="50"/>
      <x:c r="L76" s="50"/>
      <x:c r="M76" s="50"/>
    </x:row>
    <x:row r="77" ht="21" customHeight="1">
      <x:c r="A77" s="50"/>
      <x:c r="B77" s="50"/>
      <x:c r="C77" s="50" t="str">
        <x:v>Base</x:v>
      </x:c>
      <x:c r="D77" s="70" t="n">
        <x:v>1600</x:v>
      </x:c>
      <x:c r="E77" s="50"/>
      <x:c r="F77" s="50"/>
      <x:c r="G77" s="50"/>
      <x:c r="H77" s="50"/>
      <x:c r="I77" s="50"/>
      <x:c r="J77" s="50"/>
      <x:c r="K77" s="50"/>
      <x:c r="L77" s="50"/>
      <x:c r="M77" s="50"/>
    </x:row>
    <x:row r="78" ht="21" customHeight="1">
      <x:c r="A78" s="50"/>
      <x:c r="B78" s="50"/>
      <x:c r="C78" s="50" t="str">
        <x:v>High</x:v>
      </x:c>
      <x:c r="D78" s="70" t="n">
        <x:v>1200</x:v>
      </x:c>
      <x:c r="E78" s="50"/>
      <x:c r="F78" s="50"/>
      <x:c r="G78" s="50"/>
      <x:c r="H78" s="50"/>
      <x:c r="I78" s="50"/>
      <x:c r="J78" s="50"/>
      <x:c r="K78" s="50"/>
      <x:c r="L78" s="50"/>
      <x:c r="M78" s="50"/>
    </x:row>
    <x:row r="79" ht="21" customHeight="1">
      <x:c r="A79" s="50"/>
      <x:c r="B79" s="50"/>
      <x:c r="C79" s="50"/>
      <x:c r="D79" s="50"/>
      <x:c r="E79" s="50"/>
      <x:c r="F79" s="50"/>
      <x:c r="G79" s="50"/>
      <x:c r="H79" s="50"/>
      <x:c r="I79" s="50"/>
      <x:c r="J79" s="50"/>
      <x:c r="K79" s="50"/>
      <x:c r="L79" s="50"/>
      <x:c r="M79" s="50"/>
    </x:row>
    <x:row r="80" ht="21" customHeight="1">
      <x:c r="A80" s="50"/>
      <x:c r="B80" s="50"/>
      <x:c r="C80" s="56" t="str">
        <x:v>One-off Shopify / tracking integration | Active</x:v>
      </x:c>
      <x:c r="D80" s="75" t="n">
        <x:f>IF(CHOOSE($D$4,ISNUMBER(D81),ISNUMBER(D82),ISNUMBER(D83)),CHOOSE($D$4,D81,D82,D83),"Not supplied")</x:f>
        <x:v>2000</x:v>
      </x:c>
      <x:c r="E80" s="56"/>
      <x:c r="F80" s="50"/>
      <x:c r="G80" s="50" t="str">
        <x:v>Existing store enhancement only. Validate agency quote.</x:v>
      </x:c>
      <x:c r="H80" s="50"/>
      <x:c r="I80" s="50"/>
      <x:c r="J80" s="50"/>
      <x:c r="K80" s="50"/>
      <x:c r="L80" s="50"/>
      <x:c r="M80" s="50"/>
    </x:row>
    <x:row r="81" ht="21" customHeight="1">
      <x:c r="A81" s="50"/>
      <x:c r="B81" s="50"/>
      <x:c r="C81" s="50" t="str">
        <x:v>Low</x:v>
      </x:c>
      <x:c r="D81" s="70" t="n">
        <x:v>3000</x:v>
      </x:c>
      <x:c r="E81" s="50"/>
      <x:c r="F81" s="50"/>
      <x:c r="G81" s="50"/>
      <x:c r="H81" s="50"/>
      <x:c r="I81" s="50"/>
      <x:c r="J81" s="50"/>
      <x:c r="K81" s="50"/>
      <x:c r="L81" s="50"/>
      <x:c r="M81" s="50"/>
    </x:row>
    <x:row r="82" ht="21" customHeight="1">
      <x:c r="A82" s="50"/>
      <x:c r="B82" s="50"/>
      <x:c r="C82" s="50" t="str">
        <x:v>Base</x:v>
      </x:c>
      <x:c r="D82" s="70" t="n">
        <x:v>2000</x:v>
      </x:c>
      <x:c r="E82" s="50"/>
      <x:c r="F82" s="50"/>
      <x:c r="G82" s="50"/>
      <x:c r="H82" s="50"/>
      <x:c r="I82" s="50"/>
      <x:c r="J82" s="50"/>
      <x:c r="K82" s="50"/>
      <x:c r="L82" s="50"/>
      <x:c r="M82" s="50"/>
    </x:row>
    <x:row r="83" ht="21" customHeight="1">
      <x:c r="A83" s="50"/>
      <x:c r="B83" s="50"/>
      <x:c r="C83" s="50" t="str">
        <x:v>High</x:v>
      </x:c>
      <x:c r="D83" s="70" t="n">
        <x:v>1500</x:v>
      </x:c>
      <x:c r="E83" s="50"/>
      <x:c r="F83" s="50"/>
      <x:c r="G83" s="50"/>
      <x:c r="H83" s="50"/>
      <x:c r="I83" s="50"/>
      <x:c r="J83" s="50"/>
      <x:c r="K83" s="50"/>
      <x:c r="L83" s="50"/>
      <x:c r="M83" s="50"/>
    </x:row>
    <x:row r="84" ht="21" customHeight="1">
      <x:c r="A84" s="50"/>
      <x:c r="B84" s="50"/>
      <x:c r="C84" s="50"/>
      <x:c r="D84" s="50"/>
      <x:c r="E84" s="50"/>
      <x:c r="F84" s="50"/>
      <x:c r="G84" s="50"/>
      <x:c r="H84" s="50"/>
      <x:c r="I84" s="50"/>
      <x:c r="J84" s="50"/>
      <x:c r="K84" s="50"/>
      <x:c r="L84" s="50"/>
      <x:c r="M84" s="50"/>
    </x:row>
    <x:row r="85" ht="21" customHeight="1">
      <x:c r="A85" s="50"/>
      <x:c r="B85" s="50"/>
      <x:c r="C85" s="56" t="str">
        <x:v>One-off educational content | Active</x:v>
      </x:c>
      <x:c r="D85" s="75" t="n">
        <x:f>IF(CHOOSE($D$4,ISNUMBER(D86),ISNUMBER(D87),ISNUMBER(D88)),CHOOSE($D$4,D86,D87,D88),"Not supplied")</x:f>
        <x:v>1200</x:v>
      </x:c>
      <x:c r="E85" s="56"/>
      <x:c r="F85" s="50"/>
      <x:c r="G85" s="50" t="str">
        <x:v>Production, rights and review.</x:v>
      </x:c>
      <x:c r="H85" s="50"/>
      <x:c r="I85" s="50"/>
      <x:c r="J85" s="50"/>
      <x:c r="K85" s="50"/>
      <x:c r="L85" s="50"/>
      <x:c r="M85" s="50"/>
    </x:row>
    <x:row r="86" ht="21" customHeight="1">
      <x:c r="A86" s="50"/>
      <x:c r="B86" s="50"/>
      <x:c r="C86" s="50" t="str">
        <x:v>Low</x:v>
      </x:c>
      <x:c r="D86" s="70" t="n">
        <x:v>1600</x:v>
      </x:c>
      <x:c r="E86" s="50"/>
      <x:c r="F86" s="50"/>
      <x:c r="G86" s="50"/>
      <x:c r="H86" s="50"/>
      <x:c r="I86" s="50"/>
      <x:c r="J86" s="50"/>
      <x:c r="K86" s="50"/>
      <x:c r="L86" s="50"/>
      <x:c r="M86" s="50"/>
    </x:row>
    <x:row r="87" ht="21" customHeight="1">
      <x:c r="A87" s="50"/>
      <x:c r="B87" s="50"/>
      <x:c r="C87" s="50" t="str">
        <x:v>Base</x:v>
      </x:c>
      <x:c r="D87" s="70" t="n">
        <x:v>1200</x:v>
      </x:c>
      <x:c r="E87" s="50"/>
      <x:c r="F87" s="50"/>
      <x:c r="G87" s="50"/>
      <x:c r="H87" s="50"/>
      <x:c r="I87" s="50"/>
      <x:c r="J87" s="50"/>
      <x:c r="K87" s="50"/>
      <x:c r="L87" s="50"/>
      <x:c r="M87" s="50"/>
    </x:row>
    <x:row r="88" ht="21" customHeight="1">
      <x:c r="A88" s="50"/>
      <x:c r="B88" s="50"/>
      <x:c r="C88" s="50" t="str">
        <x:v>High</x:v>
      </x:c>
      <x:c r="D88" s="70" t="n">
        <x:v>900</x:v>
      </x:c>
      <x:c r="E88" s="50"/>
      <x:c r="F88" s="50"/>
      <x:c r="G88" s="50"/>
      <x:c r="H88" s="50"/>
      <x:c r="I88" s="50"/>
      <x:c r="J88" s="50"/>
      <x:c r="K88" s="50"/>
      <x:c r="L88" s="50"/>
      <x:c r="M88" s="50"/>
    </x:row>
    <x:row r="89" ht="21" customHeight="1">
      <x:c r="A89" s="50"/>
      <x:c r="B89" s="50"/>
      <x:c r="C89" s="50"/>
      <x:c r="D89" s="50"/>
      <x:c r="E89" s="50"/>
      <x:c r="F89" s="50"/>
      <x:c r="G89" s="50"/>
      <x:c r="H89" s="50"/>
      <x:c r="I89" s="50"/>
      <x:c r="J89" s="50"/>
      <x:c r="K89" s="50"/>
      <x:c r="L89" s="50"/>
      <x:c r="M89" s="50"/>
    </x:row>
    <x:row r="90" ht="21" customHeight="1">
      <x:c r="A90" s="50"/>
      <x:c r="B90" s="50"/>
      <x:c r="C90" s="56" t="str">
        <x:v>One-off training / QA | Active</x:v>
      </x:c>
      <x:c r="D90" s="75" t="n">
        <x:f>IF(CHOOSE($D$4,ISNUMBER(D91),ISNUMBER(D92),ISNUMBER(D93)),CHOOSE($D$4,D91,D92,D93),"Not supplied")</x:f>
        <x:v>600</x:v>
      </x:c>
      <x:c r="E90" s="56"/>
      <x:c r="F90" s="50"/>
      <x:c r="G90" s="50" t="str">
        <x:v>Accessibility, wellness content review and training.</x:v>
      </x:c>
      <x:c r="H90" s="50"/>
      <x:c r="I90" s="50"/>
      <x:c r="J90" s="50"/>
      <x:c r="K90" s="50"/>
      <x:c r="L90" s="50"/>
      <x:c r="M90" s="50"/>
    </x:row>
    <x:row r="91" ht="21" customHeight="1">
      <x:c r="A91" s="50"/>
      <x:c r="B91" s="50"/>
      <x:c r="C91" s="50" t="str">
        <x:v>Low</x:v>
      </x:c>
      <x:c r="D91" s="70" t="n">
        <x:v>900</x:v>
      </x:c>
      <x:c r="E91" s="50"/>
      <x:c r="F91" s="50"/>
      <x:c r="G91" s="50"/>
      <x:c r="H91" s="50"/>
      <x:c r="I91" s="50"/>
      <x:c r="J91" s="50"/>
      <x:c r="K91" s="50"/>
      <x:c r="L91" s="50"/>
      <x:c r="M91" s="50"/>
    </x:row>
    <x:row r="92" ht="21" customHeight="1">
      <x:c r="A92" s="50"/>
      <x:c r="B92" s="50"/>
      <x:c r="C92" s="50" t="str">
        <x:v>Base</x:v>
      </x:c>
      <x:c r="D92" s="70" t="n">
        <x:v>600</x:v>
      </x:c>
      <x:c r="E92" s="50"/>
      <x:c r="F92" s="50"/>
      <x:c r="G92" s="50"/>
      <x:c r="H92" s="50"/>
      <x:c r="I92" s="50"/>
      <x:c r="J92" s="50"/>
      <x:c r="K92" s="50"/>
      <x:c r="L92" s="50"/>
      <x:c r="M92" s="50"/>
    </x:row>
    <x:row r="93" ht="21" customHeight="1">
      <x:c r="A93" s="50"/>
      <x:c r="B93" s="50"/>
      <x:c r="C93" s="50" t="str">
        <x:v>High</x:v>
      </x:c>
      <x:c r="D93" s="70" t="n">
        <x:v>400</x:v>
      </x:c>
      <x:c r="E93" s="50"/>
      <x:c r="F93" s="50"/>
      <x:c r="G93" s="50"/>
      <x:c r="H93" s="50"/>
      <x:c r="I93" s="50"/>
      <x:c r="J93" s="50"/>
      <x:c r="K93" s="50"/>
      <x:c r="L93" s="50"/>
      <x:c r="M93" s="50"/>
    </x:row>
    <x:row r="94" ht="21" customHeight="1">
      <x:c r="A94" s="50"/>
      <x:c r="B94" s="50"/>
      <x:c r="C94" s="50"/>
      <x:c r="D94" s="50"/>
      <x:c r="E94" s="50"/>
      <x:c r="F94" s="50"/>
      <x:c r="G94" s="50"/>
      <x:c r="H94" s="50"/>
      <x:c r="I94" s="50"/>
      <x:c r="J94" s="50"/>
      <x:c r="K94" s="50"/>
      <x:c r="L94" s="50"/>
      <x:c r="M94" s="50"/>
    </x:row>
    <x:row r="95" ht="21" customHeight="1">
      <x:c r="A95" s="50"/>
      <x:c r="B95" s="50"/>
      <x:c r="C95" s="56" t="str">
        <x:v>Monthly tools / apps | Active</x:v>
      </x:c>
      <x:c r="D95" s="75" t="n">
        <x:f>IF(CHOOSE($D$4,ISNUMBER(D96),ISNUMBER(D97),ISNUMBER(D98)),CHOOSE($D$4,D96,D97,D98),"Not supplied")</x:f>
        <x:v>100</x:v>
      </x:c>
      <x:c r="E95" s="56"/>
      <x:c r="F95" s="50"/>
      <x:c r="G95" s="50" t="str">
        <x:v>Starts at launch; no vendor price claim.</x:v>
      </x:c>
      <x:c r="H95" s="50"/>
      <x:c r="I95" s="50"/>
      <x:c r="J95" s="50"/>
      <x:c r="K95" s="50"/>
      <x:c r="L95" s="50"/>
      <x:c r="M95" s="50"/>
    </x:row>
    <x:row r="96" ht="21" customHeight="1">
      <x:c r="A96" s="50"/>
      <x:c r="B96" s="50"/>
      <x:c r="C96" s="50" t="str">
        <x:v>Low</x:v>
      </x:c>
      <x:c r="D96" s="70" t="n">
        <x:v>150</x:v>
      </x:c>
      <x:c r="E96" s="50"/>
      <x:c r="F96" s="50"/>
      <x:c r="G96" s="50"/>
      <x:c r="H96" s="50"/>
      <x:c r="I96" s="50"/>
      <x:c r="J96" s="50"/>
      <x:c r="K96" s="50"/>
      <x:c r="L96" s="50"/>
      <x:c r="M96" s="50"/>
    </x:row>
    <x:row r="97" ht="21" customHeight="1">
      <x:c r="A97" s="50"/>
      <x:c r="B97" s="50"/>
      <x:c r="C97" s="50" t="str">
        <x:v>Base</x:v>
      </x:c>
      <x:c r="D97" s="70" t="n">
        <x:v>100</x:v>
      </x:c>
      <x:c r="E97" s="50"/>
      <x:c r="F97" s="50"/>
      <x:c r="G97" s="50"/>
      <x:c r="H97" s="50"/>
      <x:c r="I97" s="50"/>
      <x:c r="J97" s="50"/>
      <x:c r="K97" s="50"/>
      <x:c r="L97" s="50"/>
      <x:c r="M97" s="50"/>
    </x:row>
    <x:row r="98" ht="21" customHeight="1">
      <x:c r="A98" s="50"/>
      <x:c r="B98" s="50"/>
      <x:c r="C98" s="50" t="str">
        <x:v>High</x:v>
      </x:c>
      <x:c r="D98" s="70" t="n">
        <x:v>80</x:v>
      </x:c>
      <x:c r="E98" s="50"/>
      <x:c r="F98" s="50"/>
      <x:c r="G98" s="50"/>
      <x:c r="H98" s="50"/>
      <x:c r="I98" s="50"/>
      <x:c r="J98" s="50"/>
      <x:c r="K98" s="50"/>
      <x:c r="L98" s="50"/>
      <x:c r="M98" s="50"/>
    </x:row>
    <x:row r="99" ht="21" customHeight="1">
      <x:c r="A99" s="50"/>
      <x:c r="B99" s="50"/>
      <x:c r="C99" s="50"/>
      <x:c r="D99" s="50"/>
      <x:c r="E99" s="50"/>
      <x:c r="F99" s="50"/>
      <x:c r="G99" s="50"/>
      <x:c r="H99" s="50"/>
      <x:c r="I99" s="50"/>
      <x:c r="J99" s="50"/>
      <x:c r="K99" s="50"/>
      <x:c r="L99" s="50"/>
      <x:c r="M99" s="50"/>
    </x:row>
    <x:row r="100" ht="21" customHeight="1">
      <x:c r="A100" s="50"/>
      <x:c r="B100" s="50"/>
      <x:c r="C100" s="56" t="str">
        <x:v>Monthly support / analyst labour | Active</x:v>
      </x:c>
      <x:c r="D100" s="75" t="n">
        <x:f>IF(CHOOSE($D$4,ISNUMBER(D101),ISNUMBER(D102),ISNUMBER(D103)),CHOOSE($D$4,D101,D102,D103),"Not supplied")</x:f>
        <x:v>350</x:v>
      </x:c>
      <x:c r="E100" s="56"/>
      <x:c r="F100" s="50"/>
      <x:c r="G100" s="50" t="str">
        <x:v>Starts at launch; include opportunity cost.</x:v>
      </x:c>
      <x:c r="H100" s="50"/>
      <x:c r="I100" s="50"/>
      <x:c r="J100" s="50"/>
      <x:c r="K100" s="50"/>
      <x:c r="L100" s="50"/>
      <x:c r="M100" s="50"/>
    </x:row>
    <x:row r="101" ht="21" customHeight="1">
      <x:c r="A101" s="50"/>
      <x:c r="B101" s="50"/>
      <x:c r="C101" s="50" t="str">
        <x:v>Low</x:v>
      </x:c>
      <x:c r="D101" s="70" t="n">
        <x:v>500</x:v>
      </x:c>
      <x:c r="E101" s="50"/>
      <x:c r="F101" s="50"/>
      <x:c r="G101" s="50"/>
      <x:c r="H101" s="50"/>
      <x:c r="I101" s="50"/>
      <x:c r="J101" s="50"/>
      <x:c r="K101" s="50"/>
      <x:c r="L101" s="50"/>
      <x:c r="M101" s="50"/>
    </x:row>
    <x:row r="102" ht="21" customHeight="1">
      <x:c r="A102" s="50"/>
      <x:c r="B102" s="50"/>
      <x:c r="C102" s="50" t="str">
        <x:v>Base</x:v>
      </x:c>
      <x:c r="D102" s="70" t="n">
        <x:v>350</x:v>
      </x:c>
      <x:c r="E102" s="50"/>
      <x:c r="F102" s="50"/>
      <x:c r="G102" s="50"/>
      <x:c r="H102" s="50"/>
      <x:c r="I102" s="50"/>
      <x:c r="J102" s="50"/>
      <x:c r="K102" s="50"/>
      <x:c r="L102" s="50"/>
      <x:c r="M102" s="50"/>
    </x:row>
    <x:row r="103" ht="21" customHeight="1">
      <x:c r="A103" s="50"/>
      <x:c r="B103" s="50"/>
      <x:c r="C103" s="50" t="str">
        <x:v>High</x:v>
      </x:c>
      <x:c r="D103" s="70" t="n">
        <x:v>250</x:v>
      </x:c>
      <x:c r="E103" s="50"/>
      <x:c r="F103" s="50"/>
      <x:c r="G103" s="50"/>
      <x:c r="H103" s="50"/>
      <x:c r="I103" s="50"/>
      <x:c r="J103" s="50"/>
      <x:c r="K103" s="50"/>
      <x:c r="L103" s="50"/>
      <x:c r="M103" s="50"/>
    </x:row>
    <x:row r="104" ht="21" customHeight="1">
      <x:c r="A104" s="50"/>
      <x:c r="B104" s="50"/>
      <x:c r="C104" s="50"/>
      <x:c r="D104" s="50"/>
      <x:c r="E104" s="50"/>
      <x:c r="F104" s="50"/>
      <x:c r="G104" s="50"/>
      <x:c r="H104" s="50"/>
      <x:c r="I104" s="50"/>
      <x:c r="J104" s="50"/>
      <x:c r="K104" s="50"/>
      <x:c r="L104" s="50"/>
      <x:c r="M104" s="50"/>
    </x:row>
    <x:row r="105" ht="21" customHeight="1">
      <x:c r="A105" s="50"/>
      <x:c r="B105" s="50"/>
      <x:c r="C105" s="56" t="str">
        <x:v>Monthly ongoing content | Active</x:v>
      </x:c>
      <x:c r="D105" s="75" t="n">
        <x:f>IF(CHOOSE($D$4,ISNUMBER(D106),ISNUMBER(D107),ISNUMBER(D108)),CHOOSE($D$4,D106,D107,D108),"Not supplied")</x:f>
        <x:v>300</x:v>
      </x:c>
      <x:c r="E105" s="56"/>
      <x:c r="F105" s="50"/>
      <x:c r="G105" s="50" t="str">
        <x:v>Starts at launch.</x:v>
      </x:c>
      <x:c r="H105" s="50"/>
      <x:c r="I105" s="50"/>
      <x:c r="J105" s="50"/>
      <x:c r="K105" s="50"/>
      <x:c r="L105" s="50"/>
      <x:c r="M105" s="50"/>
    </x:row>
    <x:row r="106" ht="21" customHeight="1">
      <x:c r="A106" s="50"/>
      <x:c r="B106" s="50"/>
      <x:c r="C106" s="50" t="str">
        <x:v>Low</x:v>
      </x:c>
      <x:c r="D106" s="70" t="n">
        <x:v>400</x:v>
      </x:c>
      <x:c r="E106" s="50"/>
      <x:c r="F106" s="50"/>
      <x:c r="G106" s="50"/>
      <x:c r="H106" s="50"/>
      <x:c r="I106" s="50"/>
      <x:c r="J106" s="50"/>
      <x:c r="K106" s="50"/>
      <x:c r="L106" s="50"/>
      <x:c r="M106" s="50"/>
    </x:row>
    <x:row r="107" ht="21" customHeight="1">
      <x:c r="A107" s="50"/>
      <x:c r="B107" s="50"/>
      <x:c r="C107" s="50" t="str">
        <x:v>Base</x:v>
      </x:c>
      <x:c r="D107" s="70" t="n">
        <x:v>300</x:v>
      </x:c>
      <x:c r="E107" s="50"/>
      <x:c r="F107" s="50"/>
      <x:c r="G107" s="50"/>
      <x:c r="H107" s="50"/>
      <x:c r="I107" s="50"/>
      <x:c r="J107" s="50"/>
      <x:c r="K107" s="50"/>
      <x:c r="L107" s="50"/>
      <x:c r="M107" s="50"/>
    </x:row>
    <x:row r="108" ht="21" customHeight="1">
      <x:c r="A108" s="50"/>
      <x:c r="B108" s="50"/>
      <x:c r="C108" s="50" t="str">
        <x:v>High</x:v>
      </x:c>
      <x:c r="D108" s="70" t="n">
        <x:v>250</x:v>
      </x:c>
      <x:c r="E108" s="50"/>
      <x:c r="F108" s="50"/>
      <x:c r="G108" s="50"/>
      <x:c r="H108" s="50"/>
      <x:c r="I108" s="50"/>
      <x:c r="J108" s="50"/>
      <x:c r="K108" s="50"/>
      <x:c r="L108" s="50"/>
      <x:c r="M108" s="50"/>
    </x:row>
    <x:row r="109" ht="21" customHeight="1">
      <x:c r="A109" s="50"/>
      <x:c r="B109" s="50"/>
      <x:c r="C109" s="50"/>
      <x:c r="D109" s="50"/>
      <x:c r="E109" s="50"/>
      <x:c r="F109" s="50"/>
      <x:c r="G109" s="50"/>
      <x:c r="H109" s="50"/>
      <x:c r="I109" s="50"/>
      <x:c r="J109" s="50"/>
      <x:c r="K109" s="50"/>
      <x:c r="L109" s="50"/>
      <x:c r="M109" s="50"/>
    </x:row>
    <x:row r="110" ht="21" customHeight="1">
      <x:c r="A110" s="50"/>
      <x:c r="B110" s="50"/>
      <x:c r="C110" s="56" t="str">
        <x:v>Monthly incremental paid marketing | Active</x:v>
      </x:c>
      <x:c r="D110" s="75" t="n">
        <x:f>IF(CHOOSE($D$4,ISNUMBER(D111),ISNUMBER(D112),ISNUMBER(D113)),CHOOSE($D$4,D111,D112,D113),"Not supplied")</x:f>
        <x:v>600</x:v>
      </x:c>
      <x:c r="E110" s="56"/>
      <x:c r="F110" s="50"/>
      <x:c r="G110" s="50" t="str">
        <x:v>Starts at launch; do not also include this in CAC cost.</x:v>
      </x:c>
      <x:c r="H110" s="50"/>
      <x:c r="I110" s="50"/>
      <x:c r="J110" s="50"/>
      <x:c r="K110" s="50"/>
      <x:c r="L110" s="50"/>
      <x:c r="M110" s="50"/>
    </x:row>
    <x:row r="111" ht="21" customHeight="1">
      <x:c r="A111" s="50"/>
      <x:c r="B111" s="50"/>
      <x:c r="C111" s="50" t="str">
        <x:v>Low</x:v>
      </x:c>
      <x:c r="D111" s="70" t="n">
        <x:v>800</x:v>
      </x:c>
      <x:c r="E111" s="50"/>
      <x:c r="F111" s="50"/>
      <x:c r="G111" s="50"/>
      <x:c r="H111" s="50"/>
      <x:c r="I111" s="50"/>
      <x:c r="J111" s="50"/>
      <x:c r="K111" s="50"/>
      <x:c r="L111" s="50"/>
      <x:c r="M111" s="50"/>
    </x:row>
    <x:row r="112" ht="21" customHeight="1">
      <x:c r="A112" s="50"/>
      <x:c r="B112" s="50"/>
      <x:c r="C112" s="50" t="str">
        <x:v>Base</x:v>
      </x:c>
      <x:c r="D112" s="70" t="n">
        <x:v>600</x:v>
      </x:c>
      <x:c r="E112" s="50"/>
      <x:c r="F112" s="50"/>
      <x:c r="G112" s="50"/>
      <x:c r="H112" s="50"/>
      <x:c r="I112" s="50"/>
      <x:c r="J112" s="50"/>
      <x:c r="K112" s="50"/>
      <x:c r="L112" s="50"/>
      <x:c r="M112" s="50"/>
    </x:row>
    <x:row r="113" ht="21" customHeight="1">
      <x:c r="A113" s="50"/>
      <x:c r="B113" s="50"/>
      <x:c r="C113" s="50" t="str">
        <x:v>High</x:v>
      </x:c>
      <x:c r="D113" s="70" t="n">
        <x:v>500</x:v>
      </x:c>
      <x:c r="E113" s="50"/>
      <x:c r="F113" s="50"/>
      <x:c r="G113" s="50"/>
      <x:c r="H113" s="50"/>
      <x:c r="I113" s="50"/>
      <x:c r="J113" s="50"/>
      <x:c r="K113" s="50"/>
      <x:c r="L113" s="50"/>
      <x:c r="M113" s="50"/>
    </x:row>
    <x:row r="114" ht="21" customHeight="1">
      <x:c r="A114" s="50"/>
      <x:c r="B114" s="50"/>
      <x:c r="C114" s="50"/>
      <x:c r="D114" s="50"/>
      <x:c r="E114" s="50"/>
      <x:c r="F114" s="50"/>
      <x:c r="G114" s="50"/>
      <x:c r="H114" s="50"/>
      <x:c r="I114" s="50"/>
      <x:c r="J114" s="50"/>
      <x:c r="K114" s="50"/>
      <x:c r="L114" s="50"/>
      <x:c r="M114" s="50"/>
    </x:row>
    <x:row r="115" ht="21" customHeight="1">
      <x:c r="A115" s="50"/>
      <x:c r="B115" s="50"/>
      <x:c r="C115" s="56" t="str">
        <x:v>Voice enabled: 0 No / 1 Yes | Active</x:v>
      </x:c>
      <x:c r="D115" s="73" t="n">
        <x:f>IF(CHOOSE($D$4,ISNUMBER(D116),ISNUMBER(D117),ISNUMBER(D118)),CHOOSE($D$4,D116,D117,D118),"Not supplied")</x:f>
        <x:v>0</x:v>
      </x:c>
      <x:c r="E115" s="56"/>
      <x:c r="F115" s="50"/>
      <x:c r="G115" s="50" t="str">
        <x:v>Optional; no API integration or vendor commitment.</x:v>
      </x:c>
      <x:c r="H115" s="50"/>
      <x:c r="I115" s="50"/>
      <x:c r="J115" s="50"/>
      <x:c r="K115" s="50"/>
      <x:c r="L115" s="50"/>
      <x:c r="M115" s="50"/>
    </x:row>
    <x:row r="116" ht="21" customHeight="1">
      <x:c r="A116" s="50"/>
      <x:c r="B116" s="50"/>
      <x:c r="C116" s="50" t="str">
        <x:v>Low</x:v>
      </x:c>
      <x:c r="D116" s="60" t="n">
        <x:v>0</x:v>
      </x:c>
      <x:c r="E116" s="50"/>
      <x:c r="F116" s="50"/>
      <x:c r="G116" s="50"/>
      <x:c r="H116" s="50"/>
      <x:c r="I116" s="50"/>
      <x:c r="J116" s="50"/>
      <x:c r="K116" s="50"/>
      <x:c r="L116" s="50"/>
      <x:c r="M116" s="50"/>
    </x:row>
    <x:row r="117" ht="21" customHeight="1">
      <x:c r="A117" s="50"/>
      <x:c r="B117" s="50"/>
      <x:c r="C117" s="50" t="str">
        <x:v>Base</x:v>
      </x:c>
      <x:c r="D117" s="60" t="n">
        <x:v>0</x:v>
      </x:c>
      <x:c r="E117" s="50"/>
      <x:c r="F117" s="50"/>
      <x:c r="G117" s="50"/>
      <x:c r="H117" s="50"/>
      <x:c r="I117" s="50"/>
      <x:c r="J117" s="50"/>
      <x:c r="K117" s="50"/>
      <x:c r="L117" s="50"/>
      <x:c r="M117" s="50"/>
    </x:row>
    <x:row r="118" ht="21" customHeight="1">
      <x:c r="A118" s="50"/>
      <x:c r="B118" s="50"/>
      <x:c r="C118" s="50" t="str">
        <x:v>High</x:v>
      </x:c>
      <x:c r="D118" s="60" t="n">
        <x:v>0</x:v>
      </x:c>
      <x:c r="E118" s="50"/>
      <x:c r="F118" s="50"/>
      <x:c r="G118" s="50"/>
      <x:c r="H118" s="50"/>
      <x:c r="I118" s="50"/>
      <x:c r="J118" s="50"/>
      <x:c r="K118" s="50"/>
      <x:c r="L118" s="50"/>
      <x:c r="M118" s="50"/>
    </x:row>
    <x:row r="119" ht="21" customHeight="1">
      <x:c r="A119" s="50"/>
      <x:c r="B119" s="50"/>
      <x:c r="C119" s="50"/>
      <x:c r="D119" s="50"/>
      <x:c r="E119" s="50"/>
      <x:c r="F119" s="50"/>
      <x:c r="G119" s="50"/>
      <x:c r="H119" s="50"/>
      <x:c r="I119" s="50"/>
      <x:c r="J119" s="50"/>
      <x:c r="K119" s="50"/>
      <x:c r="L119" s="50"/>
      <x:c r="M119" s="50"/>
    </x:row>
    <x:row r="120" ht="21" customHeight="1">
      <x:c r="A120" s="50"/>
      <x:c r="B120" s="50"/>
      <x:c r="C120" s="56" t="str">
        <x:v>Voice sessions / reached visitor | Active</x:v>
      </x:c>
      <x:c r="D120" s="74" t="n">
        <x:f>IF(CHOOSE($D$4,ISNUMBER(D121),ISNUMBER(D122),ISNUMBER(D123)),CHOOSE($D$4,D121,D122,D123),"Not supplied")</x:f>
        <x:v>0.1</x:v>
      </x:c>
      <x:c r="E120" s="56"/>
      <x:c r="F120" s="50"/>
      <x:c r="G120" s="50" t="str">
        <x:v>Only relevant when enabled.</x:v>
      </x:c>
      <x:c r="H120" s="50"/>
      <x:c r="I120" s="50"/>
      <x:c r="J120" s="50"/>
      <x:c r="K120" s="50"/>
      <x:c r="L120" s="50"/>
      <x:c r="M120" s="50"/>
    </x:row>
    <x:row r="121" ht="21" customHeight="1">
      <x:c r="A121" s="50"/>
      <x:c r="B121" s="50"/>
      <x:c r="C121" s="50" t="str">
        <x:v>Low</x:v>
      </x:c>
      <x:c r="D121" s="68" t="n">
        <x:v>0.1</x:v>
      </x:c>
      <x:c r="E121" s="50"/>
      <x:c r="F121" s="50"/>
      <x:c r="G121" s="50"/>
      <x:c r="H121" s="50"/>
      <x:c r="I121" s="50"/>
      <x:c r="J121" s="50"/>
      <x:c r="K121" s="50"/>
      <x:c r="L121" s="50"/>
      <x:c r="M121" s="50"/>
    </x:row>
    <x:row r="122" ht="21" customHeight="1">
      <x:c r="A122" s="50"/>
      <x:c r="B122" s="50"/>
      <x:c r="C122" s="50" t="str">
        <x:v>Base</x:v>
      </x:c>
      <x:c r="D122" s="68" t="n">
        <x:v>0.1</x:v>
      </x:c>
      <x:c r="E122" s="50"/>
      <x:c r="F122" s="50"/>
      <x:c r="G122" s="50"/>
      <x:c r="H122" s="50"/>
      <x:c r="I122" s="50"/>
      <x:c r="J122" s="50"/>
      <x:c r="K122" s="50"/>
      <x:c r="L122" s="50"/>
      <x:c r="M122" s="50"/>
    </x:row>
    <x:row r="123" ht="21" customHeight="1">
      <x:c r="A123" s="50"/>
      <x:c r="B123" s="50"/>
      <x:c r="C123" s="50" t="str">
        <x:v>High</x:v>
      </x:c>
      <x:c r="D123" s="68" t="n">
        <x:v>0.1</x:v>
      </x:c>
      <x:c r="E123" s="50"/>
      <x:c r="F123" s="50"/>
      <x:c r="G123" s="50"/>
      <x:c r="H123" s="50"/>
      <x:c r="I123" s="50"/>
      <x:c r="J123" s="50"/>
      <x:c r="K123" s="50"/>
      <x:c r="L123" s="50"/>
      <x:c r="M123" s="50"/>
    </x:row>
    <x:row r="124" ht="21" customHeight="1">
      <x:c r="A124" s="50"/>
      <x:c r="B124" s="50"/>
      <x:c r="C124" s="50"/>
      <x:c r="D124" s="50"/>
      <x:c r="E124" s="50"/>
      <x:c r="F124" s="50"/>
      <x:c r="G124" s="50"/>
      <x:c r="H124" s="50"/>
      <x:c r="I124" s="50"/>
      <x:c r="J124" s="50"/>
      <x:c r="K124" s="50"/>
      <x:c r="L124" s="50"/>
      <x:c r="M124" s="50"/>
    </x:row>
    <x:row r="125" ht="21" customHeight="1">
      <x:c r="A125" s="50"/>
      <x:c r="B125" s="50"/>
      <x:c r="C125" s="56" t="str">
        <x:v>Voice cost / session | Active</x:v>
      </x:c>
      <x:c r="D125" s="75" t="n">
        <x:f>IF(CHOOSE($D$4,ISNUMBER(D126),ISNUMBER(D127),ISNUMBER(D128)),CHOOSE($D$4,D126,D127,D128),"Not supplied")</x:f>
        <x:v>0.4</x:v>
      </x:c>
      <x:c r="E125" s="56"/>
      <x:c r="F125" s="50"/>
      <x:c r="G125" s="50" t="str">
        <x:v>All-in assumed vendor + oversight unit cost.</x:v>
      </x:c>
      <x:c r="H125" s="50"/>
      <x:c r="I125" s="50"/>
      <x:c r="J125" s="50"/>
      <x:c r="K125" s="50"/>
      <x:c r="L125" s="50"/>
      <x:c r="M125" s="50"/>
    </x:row>
    <x:row r="126" ht="21" customHeight="1">
      <x:c r="A126" s="50"/>
      <x:c r="B126" s="50"/>
      <x:c r="C126" s="50" t="str">
        <x:v>Low</x:v>
      </x:c>
      <x:c r="D126" s="70" t="n">
        <x:v>0.6</x:v>
      </x:c>
      <x:c r="E126" s="50"/>
      <x:c r="F126" s="50"/>
      <x:c r="G126" s="50"/>
      <x:c r="H126" s="50"/>
      <x:c r="I126" s="50"/>
      <x:c r="J126" s="50"/>
      <x:c r="K126" s="50"/>
      <x:c r="L126" s="50"/>
      <x:c r="M126" s="50"/>
    </x:row>
    <x:row r="127" ht="21" customHeight="1">
      <x:c r="A127" s="50"/>
      <x:c r="B127" s="50"/>
      <x:c r="C127" s="50" t="str">
        <x:v>Base</x:v>
      </x:c>
      <x:c r="D127" s="70" t="n">
        <x:v>0.4</x:v>
      </x:c>
      <x:c r="E127" s="50"/>
      <x:c r="F127" s="50"/>
      <x:c r="G127" s="50"/>
      <x:c r="H127" s="50"/>
      <x:c r="I127" s="50"/>
      <x:c r="J127" s="50"/>
      <x:c r="K127" s="50"/>
      <x:c r="L127" s="50"/>
      <x:c r="M127" s="50"/>
    </x:row>
    <x:row r="128" ht="21" customHeight="1">
      <x:c r="A128" s="50"/>
      <x:c r="B128" s="50"/>
      <x:c r="C128" s="50" t="str">
        <x:v>High</x:v>
      </x:c>
      <x:c r="D128" s="70" t="n">
        <x:v>0.3</x:v>
      </x:c>
      <x:c r="E128" s="50"/>
      <x:c r="F128" s="50"/>
      <x:c r="G128" s="50"/>
      <x:c r="H128" s="50"/>
      <x:c r="I128" s="50"/>
      <x:c r="J128" s="50"/>
      <x:c r="K128" s="50"/>
      <x:c r="L128" s="50"/>
      <x:c r="M128" s="50"/>
    </x:row>
    <x:row r="129" ht="21" customHeight="1">
      <x:c r="A129" s="50"/>
      <x:c r="B129" s="50"/>
      <x:c r="C129" s="50"/>
      <x:c r="D129" s="50"/>
      <x:c r="E129" s="50"/>
      <x:c r="F129" s="50"/>
      <x:c r="G129" s="50"/>
      <x:c r="H129" s="50"/>
      <x:c r="I129" s="50"/>
      <x:c r="J129" s="50"/>
      <x:c r="K129" s="50"/>
      <x:c r="L129" s="50"/>
      <x:c r="M129" s="50"/>
    </x:row>
    <x:row r="130" ht="21" customHeight="1">
      <x:c r="A130" s="50"/>
      <x:c r="B130" s="50"/>
      <x:c r="C130" s="56" t="str">
        <x:v>Incremental partner accounts at saturation | Active</x:v>
      </x:c>
      <x:c r="D130" s="73" t="n">
        <x:f>IF(CHOOSE($D$4,ISNUMBER(D131),ISNUMBER(D132),ISNUMBER(D133)),CHOOSE($D$4,D131,D132,D133),"Not supplied")</x:f>
        <x:v>2</x:v>
      </x:c>
      <x:c r="E130" s="56"/>
      <x:c r="F130" s="50"/>
      <x:c r="G130" s="50" t="str">
        <x:v>Distinct new partner-equivalent accounts; optional.</x:v>
      </x:c>
      <x:c r="H130" s="50"/>
      <x:c r="I130" s="50"/>
      <x:c r="J130" s="50"/>
      <x:c r="K130" s="50"/>
      <x:c r="L130" s="50"/>
      <x:c r="M130" s="50"/>
    </x:row>
    <x:row r="131" ht="21" customHeight="1">
      <x:c r="A131" s="50"/>
      <x:c r="B131" s="50"/>
      <x:c r="C131" s="50" t="str">
        <x:v>Low</x:v>
      </x:c>
      <x:c r="D131" s="60" t="n">
        <x:v>0</x:v>
      </x:c>
      <x:c r="E131" s="50"/>
      <x:c r="F131" s="50"/>
      <x:c r="G131" s="50"/>
      <x:c r="H131" s="50"/>
      <x:c r="I131" s="50"/>
      <x:c r="J131" s="50"/>
      <x:c r="K131" s="50"/>
      <x:c r="L131" s="50"/>
      <x:c r="M131" s="50"/>
    </x:row>
    <x:row r="132" ht="21" customHeight="1">
      <x:c r="A132" s="50"/>
      <x:c r="B132" s="50"/>
      <x:c r="C132" s="50" t="str">
        <x:v>Base</x:v>
      </x:c>
      <x:c r="D132" s="60" t="n">
        <x:v>2</x:v>
      </x:c>
      <x:c r="E132" s="50"/>
      <x:c r="F132" s="50"/>
      <x:c r="G132" s="50"/>
      <x:c r="H132" s="50"/>
      <x:c r="I132" s="50"/>
      <x:c r="J132" s="50"/>
      <x:c r="K132" s="50"/>
      <x:c r="L132" s="50"/>
      <x:c r="M132" s="50"/>
    </x:row>
    <x:row r="133" ht="21" customHeight="1">
      <x:c r="A133" s="50"/>
      <x:c r="B133" s="50"/>
      <x:c r="C133" s="50" t="str">
        <x:v>High</x:v>
      </x:c>
      <x:c r="D133" s="60" t="n">
        <x:v>4</x:v>
      </x:c>
      <x:c r="E133" s="50"/>
      <x:c r="F133" s="50"/>
      <x:c r="G133" s="50"/>
      <x:c r="H133" s="50"/>
      <x:c r="I133" s="50"/>
      <x:c r="J133" s="50"/>
      <x:c r="K133" s="50"/>
      <x:c r="L133" s="50"/>
      <x:c r="M133" s="50"/>
    </x:row>
    <x:row r="134" ht="21" customHeight="1">
      <x:c r="A134" s="50"/>
      <x:c r="B134" s="50"/>
      <x:c r="C134" s="50"/>
      <x:c r="D134" s="50"/>
      <x:c r="E134" s="50"/>
      <x:c r="F134" s="50"/>
      <x:c r="G134" s="50"/>
      <x:c r="H134" s="50"/>
      <x:c r="I134" s="50"/>
      <x:c r="J134" s="50"/>
      <x:c r="K134" s="50"/>
      <x:c r="L134" s="50"/>
      <x:c r="M134" s="50"/>
    </x:row>
    <x:row r="135" ht="21" customHeight="1">
      <x:c r="A135" s="50"/>
      <x:c r="B135" s="50"/>
      <x:c r="C135" s="56" t="str">
        <x:v>Monthly orders / incremental partner | Active</x:v>
      </x:c>
      <x:c r="D135" s="73" t="n">
        <x:f>IF(CHOOSE($D$4,ISNUMBER(D136),ISNUMBER(D137),ISNUMBER(D138)),CHOOSE($D$4,D136,D137,D138),"Not supplied")</x:f>
        <x:v>1</x:v>
      </x:c>
      <x:c r="E135" s="56"/>
      <x:c r="F135" s="50"/>
      <x:c r="G135" s="50" t="str">
        <x:v>Wholesale sell-in only.</x:v>
      </x:c>
      <x:c r="H135" s="50"/>
      <x:c r="I135" s="50"/>
      <x:c r="J135" s="50"/>
      <x:c r="K135" s="50"/>
      <x:c r="L135" s="50"/>
      <x:c r="M135" s="50"/>
    </x:row>
    <x:row r="136" ht="21" customHeight="1">
      <x:c r="A136" s="50"/>
      <x:c r="B136" s="50"/>
      <x:c r="C136" s="50" t="str">
        <x:v>Low</x:v>
      </x:c>
      <x:c r="D136" s="60" t="n">
        <x:v>1</x:v>
      </x:c>
      <x:c r="E136" s="50"/>
      <x:c r="F136" s="50"/>
      <x:c r="G136" s="50"/>
      <x:c r="H136" s="50"/>
      <x:c r="I136" s="50"/>
      <x:c r="J136" s="50"/>
      <x:c r="K136" s="50"/>
      <x:c r="L136" s="50"/>
      <x:c r="M136" s="50"/>
    </x:row>
    <x:row r="137" ht="21" customHeight="1">
      <x:c r="A137" s="50"/>
      <x:c r="B137" s="50"/>
      <x:c r="C137" s="50" t="str">
        <x:v>Base</x:v>
      </x:c>
      <x:c r="D137" s="60" t="n">
        <x:v>1</x:v>
      </x:c>
      <x:c r="E137" s="50"/>
      <x:c r="F137" s="50"/>
      <x:c r="G137" s="50"/>
      <x:c r="H137" s="50"/>
      <x:c r="I137" s="50"/>
      <x:c r="J137" s="50"/>
      <x:c r="K137" s="50"/>
      <x:c r="L137" s="50"/>
      <x:c r="M137" s="50"/>
    </x:row>
    <x:row r="138" ht="21" customHeight="1">
      <x:c r="A138" s="50"/>
      <x:c r="B138" s="50"/>
      <x:c r="C138" s="50" t="str">
        <x:v>High</x:v>
      </x:c>
      <x:c r="D138" s="60" t="n">
        <x:v>1</x:v>
      </x:c>
      <x:c r="E138" s="50"/>
      <x:c r="F138" s="50"/>
      <x:c r="G138" s="50"/>
      <x:c r="H138" s="50"/>
      <x:c r="I138" s="50"/>
      <x:c r="J138" s="50"/>
      <x:c r="K138" s="50"/>
      <x:c r="L138" s="50"/>
      <x:c r="M138" s="50"/>
    </x:row>
    <x:row r="139" ht="21" customHeight="1">
      <x:c r="A139" s="50"/>
      <x:c r="B139" s="50"/>
      <x:c r="C139" s="50"/>
      <x:c r="D139" s="50"/>
      <x:c r="E139" s="50"/>
      <x:c r="F139" s="50"/>
      <x:c r="G139" s="50"/>
      <x:c r="H139" s="50"/>
      <x:c r="I139" s="50"/>
      <x:c r="J139" s="50"/>
      <x:c r="K139" s="50"/>
      <x:c r="L139" s="50"/>
      <x:c r="M139" s="50"/>
    </x:row>
    <x:row r="140" ht="21" customHeight="1">
      <x:c r="A140" s="50"/>
      <x:c r="B140" s="50"/>
      <x:c r="C140" s="56" t="str">
        <x:v>Net wholesale basket | Active</x:v>
      </x:c>
      <x:c r="D140" s="75" t="n">
        <x:f>IF(CHOOSE($D$4,ISNUMBER(D141),ISNUMBER(D142),ISNUMBER(D143)),CHOOSE($D$4,D141,D142,D143),"Not supplied")</x:f>
        <x:v>350</x:v>
      </x:c>
      <x:c r="E140" s="56"/>
      <x:c r="F140" s="50"/>
      <x:c r="G140" s="50" t="str">
        <x:v>After discount/refund, ex-VAT.</x:v>
      </x:c>
      <x:c r="H140" s="50"/>
      <x:c r="I140" s="50"/>
      <x:c r="J140" s="50"/>
      <x:c r="K140" s="50"/>
      <x:c r="L140" s="50"/>
      <x:c r="M140" s="50"/>
    </x:row>
    <x:row r="141" ht="21" customHeight="1">
      <x:c r="A141" s="50"/>
      <x:c r="B141" s="50"/>
      <x:c r="C141" s="50" t="str">
        <x:v>Low</x:v>
      </x:c>
      <x:c r="D141" s="70" t="n">
        <x:v>250</x:v>
      </x:c>
      <x:c r="E141" s="50"/>
      <x:c r="F141" s="50"/>
      <x:c r="G141" s="50"/>
      <x:c r="H141" s="50"/>
      <x:c r="I141" s="50"/>
      <x:c r="J141" s="50"/>
      <x:c r="K141" s="50"/>
      <x:c r="L141" s="50"/>
      <x:c r="M141" s="50"/>
    </x:row>
    <x:row r="142" ht="21" customHeight="1">
      <x:c r="A142" s="50"/>
      <x:c r="B142" s="50"/>
      <x:c r="C142" s="50" t="str">
        <x:v>Base</x:v>
      </x:c>
      <x:c r="D142" s="70" t="n">
        <x:v>350</x:v>
      </x:c>
      <x:c r="E142" s="50"/>
      <x:c r="F142" s="50"/>
      <x:c r="G142" s="50"/>
      <x:c r="H142" s="50"/>
      <x:c r="I142" s="50"/>
      <x:c r="J142" s="50"/>
      <x:c r="K142" s="50"/>
      <x:c r="L142" s="50"/>
      <x:c r="M142" s="50"/>
    </x:row>
    <x:row r="143" ht="21" customHeight="1">
      <x:c r="A143" s="50"/>
      <x:c r="B143" s="50"/>
      <x:c r="C143" s="50" t="str">
        <x:v>High</x:v>
      </x:c>
      <x:c r="D143" s="70" t="n">
        <x:v>400</x:v>
      </x:c>
      <x:c r="E143" s="50"/>
      <x:c r="F143" s="50"/>
      <x:c r="G143" s="50"/>
      <x:c r="H143" s="50"/>
      <x:c r="I143" s="50"/>
      <x:c r="J143" s="50"/>
      <x:c r="K143" s="50"/>
      <x:c r="L143" s="50"/>
      <x:c r="M143" s="50"/>
    </x:row>
    <x:row r="144" ht="21" customHeight="1">
      <x:c r="A144" s="50"/>
      <x:c r="B144" s="50"/>
      <x:c r="C144" s="50"/>
      <x:c r="D144" s="50"/>
      <x:c r="E144" s="50"/>
      <x:c r="F144" s="50"/>
      <x:c r="G144" s="50"/>
      <x:c r="H144" s="50"/>
      <x:c r="I144" s="50"/>
      <x:c r="J144" s="50"/>
      <x:c r="K144" s="50"/>
      <x:c r="L144" s="50"/>
      <x:c r="M144" s="50"/>
    </x:row>
    <x:row r="145" ht="21" customHeight="1">
      <x:c r="A145" s="50"/>
      <x:c r="B145" s="50"/>
      <x:c r="C145" s="50"/>
      <x:c r="D145" s="50"/>
      <x:c r="E145" s="50"/>
      <x:c r="F145" s="50"/>
      <x:c r="G145" s="50"/>
      <x:c r="H145" s="50"/>
      <x:c r="I145" s="50"/>
      <x:c r="J145" s="50"/>
      <x:c r="K145" s="50"/>
      <x:c r="L145" s="50"/>
      <x:c r="M145" s="50"/>
    </x:row>
    <x:row r="146" ht="21" customHeight="1">
      <x:c r="A146" s="50"/>
      <x:c r="B146" s="50"/>
      <x:c r="C146" s="50"/>
      <x:c r="D146" s="50"/>
      <x:c r="E146" s="50"/>
      <x:c r="F146" s="50"/>
      <x:c r="G146" s="50"/>
      <x:c r="H146" s="50"/>
      <x:c r="I146" s="50"/>
      <x:c r="J146" s="50"/>
      <x:c r="K146" s="50"/>
      <x:c r="L146" s="50"/>
      <x:c r="M146" s="50"/>
    </x:row>
    <x:row r="147" ht="21" customHeight="1">
      <x:c r="A147" s="50"/>
      <x:c r="B147" s="50"/>
      <x:c r="C147" s="50"/>
      <x:c r="D147" s="50"/>
      <x:c r="E147" s="50"/>
      <x:c r="F147" s="50"/>
      <x:c r="G147" s="50"/>
      <x:c r="H147" s="50"/>
      <x:c r="I147" s="50"/>
      <x:c r="J147" s="50"/>
      <x:c r="K147" s="50"/>
      <x:c r="L147" s="50"/>
      <x:c r="M147" s="50"/>
    </x:row>
    <x:row r="148" ht="21" customHeight="1">
      <x:c r="A148" s="50"/>
      <x:c r="B148" s="50"/>
      <x:c r="C148" s="50" t="str">
        <x:v>Eligible non-customer sessions / month</x:v>
      </x:c>
      <x:c r="D148" s="50"/>
      <x:c r="E148" s="50"/>
      <x:c r="F148" s="50"/>
      <x:c r="G148" s="50" t="str">
        <x:v>Acquisition visits excluding existing customers; deduplicate audience.</x:v>
      </x:c>
      <x:c r="H148" s="50"/>
      <x:c r="I148" s="50"/>
      <x:c r="J148" s="50"/>
      <x:c r="K148" s="50"/>
      <x:c r="L148" s="50"/>
      <x:c r="M148" s="50"/>
    </x:row>
    <x:row r="149" ht="21" customHeight="1">
      <x:c r="A149" s="50"/>
      <x:c r="B149" s="50"/>
      <x:c r="C149" s="50" t="str">
        <x:v>Monthly session growth</x:v>
      </x:c>
      <x:c r="D149" s="50"/>
      <x:c r="E149" s="50"/>
      <x:c r="F149" s="50"/>
      <x:c r="G149" s="50" t="str">
        <x:v>Flat demo; replace with agreed seasonality/growth.</x:v>
      </x:c>
      <x:c r="H149" s="50"/>
      <x:c r="I149" s="50"/>
      <x:c r="J149" s="50"/>
      <x:c r="K149" s="50"/>
      <x:c r="L149" s="50"/>
      <x:c r="M149" s="50"/>
    </x:row>
    <x:row r="150" ht="21" customHeight="1">
      <x:c r="A150" s="50"/>
      <x:c r="B150" s="50"/>
      <x:c r="C150" s="50" t="str">
        <x:v>New-buyer conversion</x:v>
      </x:c>
      <x:c r="D150" s="50"/>
      <x:c r="E150" s="50"/>
      <x:c r="F150" s="50"/>
      <x:c r="G150" s="50" t="str">
        <x:v>First buyers / eligible non-customer sessions, not all site sessions.</x:v>
      </x:c>
      <x:c r="H150" s="50"/>
      <x:c r="I150" s="50"/>
      <x:c r="J150" s="50"/>
      <x:c r="K150" s="50"/>
      <x:c r="L150" s="50"/>
      <x:c r="M150" s="50"/>
    </x:row>
    <x:row r="151" ht="21" customHeight="1">
      <x:c r="A151" s="50"/>
      <x:c r="B151" s="50"/>
      <x:c r="C151" s="50" t="str">
        <x:v>Opening active prior-buyer pool</x:v>
      </x:c>
      <x:c r="D151" s="50"/>
      <x:c r="E151" s="50"/>
      <x:c r="F151" s="50"/>
      <x:c r="G151" s="50" t="str">
        <x:v>Unique prior buyers eligible to order, not all historic customers.</x:v>
      </x:c>
      <x:c r="H151" s="50"/>
      <x:c r="I151" s="50"/>
      <x:c r="J151" s="50"/>
      <x:c r="K151" s="50"/>
      <x:c r="L151" s="50"/>
      <x:c r="M151" s="50"/>
    </x:row>
    <x:row r="152" ht="21" customHeight="1">
      <x:c r="A152" s="50"/>
      <x:c r="B152" s="50"/>
      <x:c r="C152" s="50" t="str">
        <x:v>Monthly repeat orders / active buyer</x:v>
      </x:c>
      <x:c r="D152" s="50"/>
      <x:c r="E152" s="50"/>
      <x:c r="F152" s="50"/>
      <x:c r="G152" s="50" t="str">
        <x:v>Order frequency; not 90-day repeat probability.</x:v>
      </x:c>
      <x:c r="H152" s="50"/>
      <x:c r="I152" s="50"/>
      <x:c r="J152" s="50"/>
      <x:c r="K152" s="50"/>
      <x:c r="L152" s="50"/>
      <x:c r="M152" s="50"/>
    </x:row>
    <x:row r="153" ht="21" customHeight="1">
      <x:c r="A153" s="50"/>
      <x:c r="B153" s="50"/>
      <x:c r="C153" s="50" t="str">
        <x:v>Monthly active-pool attrition</x:v>
      </x:c>
      <x:c r="D153" s="50"/>
      <x:c r="E153" s="50"/>
      <x:c r="F153" s="50"/>
      <x:c r="G153" s="50" t="str">
        <x:v>Simplified active-pool decay; validate with cohorts.</x:v>
      </x:c>
      <x:c r="H153" s="50"/>
      <x:c r="I153" s="50"/>
      <x:c r="J153" s="50"/>
      <x:c r="K153" s="50"/>
      <x:c r="L153" s="50"/>
      <x:c r="M153" s="50"/>
    </x:row>
    <x:row r="154" ht="21" customHeight="1">
      <x:c r="A154" s="50"/>
      <x:c r="B154" s="50"/>
      <x:c r="C154" s="50" t="str">
        <x:v>D2C basket after discounts, before refunds</x:v>
      </x:c>
      <x:c r="D154" s="50"/>
      <x:c r="E154" s="50"/>
      <x:c r="F154" s="50"/>
      <x:c r="G154" s="50" t="str">
        <x:v>Ex-VAT merchandise only. Same new and repeat basket assumption.</x:v>
      </x:c>
      <x:c r="H154" s="50"/>
      <x:c r="I154" s="50"/>
      <x:c r="J154" s="50"/>
      <x:c r="K154" s="50"/>
      <x:c r="L154" s="50"/>
      <x:c r="M154" s="50"/>
    </x:row>
    <x:row r="155" ht="21" customHeight="1">
      <x:c r="A155" s="50"/>
      <x:c r="B155" s="50"/>
      <x:c r="C155" s="50" t="str">
        <x:v>Merchandise refund fraction</x:v>
      </x:c>
      <x:c r="D155" s="50"/>
      <x:c r="E155" s="50"/>
      <x:c r="F155" s="50"/>
      <x:c r="G155" s="50" t="str">
        <x:v>Applied to merchandise revenue; orders are not deleted.</x:v>
      </x:c>
      <x:c r="H155" s="50"/>
      <x:c r="I155" s="50"/>
      <x:c r="J155" s="50"/>
      <x:c r="K155" s="50"/>
      <x:c r="L155" s="50"/>
      <x:c r="M155" s="50"/>
    </x:row>
    <x:row r="156" ht="21" customHeight="1">
      <x:c r="A156" s="50"/>
      <x:c r="B156" s="50"/>
      <x:c r="C156" s="50" t="str">
        <x:v>Product cost / gross merchandise</x:v>
      </x:c>
      <x:c r="D156" s="50"/>
      <x:c r="E156" s="50"/>
      <x:c r="F156" s="50"/>
      <x:c r="G156" s="50" t="str">
        <x:v>COGS on ordered merchandise; conservative no refund stock recovery.</x:v>
      </x:c>
      <x:c r="H156" s="50"/>
      <x:c r="I156" s="50"/>
      <x:c r="J156" s="50"/>
      <x:c r="K156" s="50"/>
      <x:c r="L156" s="50"/>
      <x:c r="M156" s="50"/>
    </x:row>
    <x:row r="157" ht="21" customHeight="1">
      <x:c r="A157" s="50"/>
      <x:c r="B157" s="50"/>
      <x:c r="C157" s="50" t="str">
        <x:v>Fulfilment / order</x:v>
      </x:c>
      <x:c r="D157" s="50"/>
      <x:c r="E157" s="50"/>
      <x:c r="F157" s="50"/>
      <x:c r="G157" s="50" t="str">
        <x:v>Packaging + pick/pack + delivery; shipping income excluded.</x:v>
      </x:c>
      <x:c r="H157" s="50"/>
      <x:c r="I157" s="50"/>
      <x:c r="J157" s="50"/>
      <x:c r="K157" s="50"/>
      <x:c r="L157" s="50"/>
      <x:c r="M157" s="50"/>
    </x:row>
    <x:row r="158" ht="21" customHeight="1">
      <x:c r="A158" s="50"/>
      <x:c r="B158" s="50"/>
      <x:c r="C158" s="50" t="str">
        <x:v>Payment + commission / gross merchandise</x:v>
      </x:c>
      <x:c r="D158" s="50"/>
      <x:c r="E158" s="50"/>
      <x:c r="F158" s="50"/>
      <x:c r="G158" s="50" t="str">
        <x:v>Fees assumed unrecovered on refunds.</x:v>
      </x:c>
      <x:c r="H158" s="50"/>
      <x:c r="I158" s="50"/>
      <x:c r="J158" s="50"/>
      <x:c r="K158" s="50"/>
      <x:c r="L158" s="50"/>
      <x:c r="M158" s="50"/>
    </x:row>
    <x:row r="159" ht="21" customHeight="1">
      <x:c r="A159" s="50"/>
      <x:c r="B159" s="50"/>
      <x:c r="C159" s="50" t="str">
        <x:v>Variable service / order</x:v>
      </x:c>
      <x:c r="D159" s="50"/>
      <x:c r="E159" s="50"/>
      <x:c r="F159" s="50"/>
      <x:c r="G159" s="50" t="str">
        <x:v>Human support etc; excludes optional incremental voice.</x:v>
      </x:c>
      <x:c r="H159" s="50"/>
      <x:c r="I159" s="50"/>
      <x:c r="J159" s="50"/>
      <x:c r="K159" s="50"/>
      <x:c r="L159" s="50"/>
      <x:c r="M159" s="50"/>
    </x:row>
    <x:row r="160" ht="21" customHeight="1">
      <x:c r="A160" s="50"/>
      <x:c r="B160" s="50"/>
      <x:c r="C160" s="50" t="str">
        <x:v>Baseline monthly acquisition spend</x:v>
      </x:c>
      <x:c r="D160" s="50"/>
      <x:c r="E160" s="50"/>
      <x:c r="F160" s="50"/>
      <x:c r="G160" s="50" t="str">
        <x:v>Recognised once below contribution. Includes relevant acquisition costs.</x:v>
      </x:c>
      <x:c r="H160" s="50"/>
      <x:c r="I160" s="50"/>
      <x:c r="J160" s="50"/>
      <x:c r="K160" s="50"/>
      <x:c r="L160" s="50"/>
      <x:c r="M160" s="50"/>
    </x:row>
    <x:row r="161" ht="21" customHeight="1">
      <x:c r="A161" s="50"/>
      <x:c r="B161" s="50"/>
      <x:c r="C161" s="50" t="str">
        <x:v>Baseline fixed monthly operating costs</x:v>
      </x:c>
      <x:c r="D161" s="50"/>
      <x:c r="E161" s="50"/>
      <x:c r="F161" s="50"/>
      <x:c r="G161" s="50" t="str">
        <x:v>Scope estimate, not enterprise audited overhead.</x:v>
      </x:c>
      <x:c r="H161" s="50"/>
      <x:c r="I161" s="50"/>
      <x:c r="J161" s="50"/>
      <x:c r="K161" s="50"/>
      <x:c r="L161" s="50"/>
      <x:c r="M161" s="50"/>
    </x:row>
    <x:row r="162" ht="21" customHeight="1">
      <x:c r="A162" s="50"/>
      <x:c r="B162" s="50"/>
      <x:c r="C162" s="50" t="str">
        <x:v>Baseline B2B monthly net sales</x:v>
      </x:c>
      <x:c r="D162" s="50"/>
      <x:c r="E162" s="50"/>
      <x:c r="F162" s="50"/>
      <x:c r="G162" s="50" t="str">
        <x:v>Sell-in only, ex-VAT after returns/discounts. No retailer sell-through.</x:v>
      </x:c>
      <x:c r="H162" s="50"/>
      <x:c r="I162" s="50"/>
      <x:c r="J162" s="50"/>
      <x:c r="K162" s="50"/>
      <x:c r="L162" s="50"/>
      <x:c r="M162" s="50"/>
    </x:row>
    <x:row r="163" ht="21" customHeight="1">
      <x:c r="A163" s="50"/>
      <x:c r="B163" s="50"/>
      <x:c r="C163" s="50" t="str">
        <x:v>B2B contribution margin</x:v>
      </x:c>
      <x:c r="D163" s="50"/>
      <x:c r="E163" s="50"/>
      <x:c r="F163" s="50"/>
      <x:c r="G163" s="50" t="str">
        <x:v>After products, fulfilment, commission and variable service.</x:v>
      </x:c>
      <x:c r="H163" s="50"/>
      <x:c r="I163" s="50"/>
      <x:c r="J163" s="50"/>
      <x:c r="K163" s="50"/>
      <x:c r="L163" s="50"/>
      <x:c r="M163" s="50"/>
    </x:row>
    <x:row r="164" ht="21" customHeight="1">
      <x:c r="A164" s="50"/>
      <x:c r="B164" s="50"/>
      <x:c r="C164" s="50" t="str">
        <x:v>B2B collection delay, whole months</x:v>
      </x:c>
      <x:c r="D164" s="50"/>
      <x:c r="E164" s="50"/>
      <x:c r="F164" s="50"/>
      <x:c r="G164" s="50" t="str">
        <x:v>0 to 6 months; opening legacy AR assumed steady-state.</x:v>
      </x:c>
      <x:c r="H164" s="50"/>
      <x:c r="I164" s="50"/>
      <x:c r="J164" s="50"/>
      <x:c r="K164" s="50"/>
      <x:c r="L164" s="50"/>
      <x:c r="M164" s="50"/>
    </x:row>
    <x:row r="165" ht="21" customHeight="1">
      <x:c r="A165" s="50"/>
      <x:c r="B165" s="50"/>
      <x:c r="C165" s="50" t="str">
        <x:v>Cost funding buffer, months</x:v>
      </x:c>
      <x:c r="D165" s="50"/>
      <x:c r="E165" s="50"/>
      <x:c r="F165" s="50"/>
      <x:c r="G165" s="50" t="str">
        <x:v>D2C incremental COGS + all B2B incremental variable costs. Cash reserve proxy, not inventory valuation.</x:v>
      </x:c>
      <x:c r="H165" s="50"/>
      <x:c r="I165" s="50"/>
      <x:c r="J165" s="50"/>
      <x:c r="K165" s="50"/>
      <x:c r="L165" s="50"/>
      <x:c r="M165" s="50"/>
    </x:row>
    <x:row r="166" ht="21" customHeight="1">
      <x:c r="A166" s="50"/>
      <x:c r="B166" s="50"/>
      <x:c r="C166" s="50" t="str">
        <x:v>Annual discount rate</x:v>
      </x:c>
      <x:c r="D166" s="50"/>
      <x:c r="E166" s="50"/>
      <x:c r="F166" s="50"/>
      <x:c r="G166" s="50" t="str">
        <x:v>Illustrative hurdle rate; no WACC claim.</x:v>
      </x:c>
      <x:c r="H166" s="50"/>
      <x:c r="I166" s="50"/>
      <x:c r="J166" s="50"/>
      <x:c r="K166" s="50"/>
      <x:c r="L166" s="50"/>
      <x:c r="M166" s="50"/>
    </x:row>
    <x:row r="167" ht="21" customHeight="1">
      <x:c r="A167" s="50"/>
      <x:c r="B167" s="50"/>
      <x:c r="C167" s="50"/>
      <x:c r="D167" s="50"/>
      <x:c r="E167" s="50"/>
      <x:c r="F167" s="50"/>
      <x:c r="G167" s="50"/>
      <x:c r="H167" s="50"/>
      <x:c r="I167" s="50"/>
      <x:c r="J167" s="50"/>
      <x:c r="K167" s="50"/>
      <x:c r="L167" s="50"/>
      <x:c r="M167" s="50"/>
    </x:row>
  </x:sheetData>
  <x:dataValidations count="12">
    <x:dataValidation type="list" sqref="D4">
      <x:formula1>"1,2,3"</x:formula1>
    </x:dataValidation>
    <x:dataValidation type="list" sqref="D8">
      <x:formula1>"1,2"</x:formula1>
    </x:dataValidation>
    <x:dataValidation type="decimal" operator="between" sqref="E15">
      <x:formula1>0</x:formula1>
      <x:formula2>1</x:formula2>
    </x:dataValidation>
    <x:dataValidation type="decimal" operator="between" sqref="E18">
      <x:formula1>0</x:formula1>
      <x:formula2>1</x:formula2>
    </x:dataValidation>
    <x:dataValidation type="decimal" operator="between" sqref="E20">
      <x:formula1>0</x:formula1>
      <x:formula2>1</x:formula2>
    </x:dataValidation>
    <x:dataValidation type="decimal" operator="between" sqref="E21">
      <x:formula1>0</x:formula1>
      <x:formula2>1</x:formula2>
    </x:dataValidation>
    <x:dataValidation type="decimal" operator="between" sqref="E23">
      <x:formula1>0</x:formula1>
      <x:formula2>1</x:formula2>
    </x:dataValidation>
    <x:dataValidation type="decimal" operator="between" sqref="E28">
      <x:formula1>0</x:formula1>
      <x:formula2>1</x:formula2>
    </x:dataValidation>
    <x:dataValidation type="decimal" operator="between" sqref="D46:D48">
      <x:formula1>0</x:formula1>
      <x:formula2>1</x:formula2>
    </x:dataValidation>
    <x:dataValidation type="decimal" operator="between" sqref="D71:D73">
      <x:formula1>0</x:formula1>
      <x:formula2>1</x:formula2>
    </x:dataValidation>
    <x:dataValidation type="decimal" operator="between" sqref="D116:D118">
      <x:formula1>0</x:formula1>
      <x:formula2>1</x:formula2>
    </x:dataValidation>
    <x:dataValidation type="decimal" operator="between" sqref="D121:D123">
      <x:formula1>0</x:formula1>
      <x:formula2>1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</x:cols>
  <x:sheetData>
    <x:row r="1" ht="21" customHeight="1">
      <x:c r="A1" s="50"/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  <x:c r="M1" s="50"/>
      <x:c r="N1" s="50"/>
      <x:c r="O1" s="50"/>
      <x:c r="P1" s="50"/>
      <x:c r="Q1" s="50"/>
      <x:c r="R1" s="50"/>
      <x:c r="S1" s="50"/>
      <x:c r="T1" s="50"/>
      <x:c r="U1" s="50"/>
      <x:c r="V1" s="50"/>
      <x:c r="W1" s="50"/>
      <x:c r="X1" s="50"/>
      <x:c r="Y1" s="50"/>
      <x:c r="Z1" s="50"/>
      <x:c r="AA1" s="50"/>
    </x:row>
    <x:row r="2" ht="21" customHeight="1">
      <x:c r="A2" s="50"/>
      <x:c r="B2" s="50"/>
      <x:c r="C2" s="51" t="str">
        <x:v>24-month forecast | baseline and intervention</x:v>
      </x:c>
      <x:c r="D2" s="50"/>
      <x:c r="E2" s="50"/>
      <x:c r="F2" s="50"/>
      <x:c r="G2" s="50"/>
      <x:c r="H2" s="50"/>
      <x:c r="I2" s="50"/>
      <x:c r="J2" s="50"/>
      <x:c r="K2" s="50"/>
      <x:c r="L2" s="50"/>
      <x:c r="M2" s="50"/>
      <x:c r="N2" s="50"/>
      <x:c r="O2" s="50"/>
      <x:c r="P2" s="50"/>
      <x:c r="Q2" s="50"/>
      <x:c r="R2" s="50"/>
      <x:c r="S2" s="50"/>
      <x:c r="T2" s="50"/>
      <x:c r="U2" s="50"/>
      <x:c r="V2" s="50"/>
      <x:c r="W2" s="50"/>
      <x:c r="X2" s="50"/>
      <x:c r="Y2" s="50"/>
      <x:c r="Z2" s="50"/>
      <x:c r="AA2" s="50"/>
    </x:row>
    <x:row r="3" ht="21" customHeight="1">
      <x:c r="A3" s="50"/>
      <x:c r="B3" s="50"/>
      <x:c r="C3" s="52"/>
      <x:c r="D3" s="52"/>
      <x:c r="E3" s="52"/>
      <x:c r="F3" s="52"/>
      <x:c r="G3" s="52"/>
      <x:c r="H3" s="52"/>
      <x:c r="I3" s="52"/>
      <x:c r="J3" s="52"/>
      <x:c r="K3" s="52"/>
      <x:c r="L3" s="52"/>
      <x:c r="M3" s="50"/>
      <x:c r="N3" s="50"/>
      <x:c r="O3" s="50"/>
      <x:c r="P3" s="50"/>
      <x:c r="Q3" s="50"/>
      <x:c r="R3" s="50"/>
      <x:c r="S3" s="50"/>
      <x:c r="T3" s="50"/>
      <x:c r="U3" s="50"/>
      <x:c r="V3" s="50"/>
      <x:c r="W3" s="50"/>
      <x:c r="X3" s="50"/>
      <x:c r="Y3" s="50"/>
      <x:c r="Z3" s="50"/>
      <x:c r="AA3" s="50"/>
    </x:row>
    <x:row r="4" ht="21" customHeight="1">
      <x:c r="A4" s="50"/>
      <x:c r="B4" s="50"/>
      <x:c r="C4" s="50"/>
      <x:c r="D4" s="50"/>
      <x:c r="E4" s="50"/>
      <x:c r="F4" s="50"/>
      <x:c r="G4" s="50"/>
      <x:c r="H4" s="50"/>
      <x:c r="I4" s="50"/>
      <x:c r="J4" s="50"/>
      <x:c r="K4" s="50"/>
      <x:c r="L4" s="50"/>
      <x:c r="M4" s="50"/>
      <x:c r="N4" s="50"/>
      <x:c r="O4" s="50"/>
      <x:c r="P4" s="50"/>
      <x:c r="Q4" s="50"/>
      <x:c r="R4" s="50"/>
      <x:c r="S4" s="50"/>
      <x:c r="T4" s="50"/>
      <x:c r="U4" s="50"/>
      <x:c r="V4" s="50"/>
      <x:c r="W4" s="50"/>
      <x:c r="X4" s="50"/>
      <x:c r="Y4" s="50"/>
      <x:c r="Z4" s="50"/>
      <x:c r="AA4" s="50"/>
    </x:row>
    <x:row r="5" ht="21" customHeight="1">
      <x:c r="A5" s="50"/>
      <x:c r="B5" s="50"/>
      <x:c r="C5" s="50" t="str">
        <x:v>Case selected:</x:v>
      </x:c>
      <x:c r="D5" s="53" t="str">
        <x:f>'Assumptions'!D10</x:f>
        <x:v>Base</x:v>
      </x:c>
      <x:c r="E5" s="50"/>
      <x:c r="F5" s="50"/>
      <x:c r="G5" s="50"/>
      <x:c r="H5" s="50"/>
      <x:c r="I5" s="50"/>
      <x:c r="J5" s="50"/>
      <x:c r="K5" s="50"/>
      <x:c r="L5" s="50"/>
      <x:c r="M5" s="50"/>
      <x:c r="N5" s="50"/>
      <x:c r="O5" s="50"/>
      <x:c r="P5" s="50"/>
      <x:c r="Q5" s="50"/>
      <x:c r="R5" s="50"/>
      <x:c r="S5" s="50"/>
      <x:c r="T5" s="50"/>
      <x:c r="U5" s="50"/>
      <x:c r="V5" s="50"/>
      <x:c r="W5" s="50"/>
      <x:c r="X5" s="50"/>
      <x:c r="Y5" s="50"/>
      <x:c r="Z5" s="50"/>
      <x:c r="AA5" s="50"/>
    </x:row>
    <x:row r="6" ht="21" customHeight="1">
      <x:c r="A6" s="50"/>
      <x:c r="B6" s="50"/>
      <x:c r="C6" s="50"/>
      <x:c r="D6" s="50"/>
      <x:c r="E6" s="50"/>
      <x:c r="F6" s="50"/>
      <x:c r="G6" s="50"/>
      <x:c r="H6" s="50"/>
      <x:c r="I6" s="50"/>
      <x:c r="J6" s="50"/>
      <x:c r="K6" s="50"/>
      <x:c r="L6" s="50"/>
      <x:c r="M6" s="50"/>
      <x:c r="N6" s="50"/>
      <x:c r="O6" s="50"/>
      <x:c r="P6" s="50"/>
      <x:c r="Q6" s="50"/>
      <x:c r="R6" s="50"/>
      <x:c r="S6" s="50"/>
      <x:c r="T6" s="50"/>
      <x:c r="U6" s="50"/>
      <x:c r="V6" s="50"/>
      <x:c r="W6" s="50"/>
      <x:c r="X6" s="50"/>
      <x:c r="Y6" s="50"/>
      <x:c r="Z6" s="50"/>
      <x:c r="AA6" s="50"/>
    </x:row>
    <x:row r="7" ht="21" customHeight="1">
      <x:c r="A7" s="50"/>
      <x:c r="B7" s="50"/>
      <x:c r="C7" s="50" t="str">
        <x:v>Forecast month</x:v>
      </x:c>
      <x:c r="D7" s="76" t="n">
        <x:f>EDATE('Assumptions'!$D$9,0)</x:f>
        <x:v>46327</x:v>
      </x:c>
      <x:c r="E7" s="76" t="n">
        <x:f>EDATE('Assumptions'!$D$9,1)</x:f>
        <x:v>46357</x:v>
      </x:c>
      <x:c r="F7" s="76" t="n">
        <x:f>EDATE('Assumptions'!$D$9,2)</x:f>
        <x:v>46388</x:v>
      </x:c>
      <x:c r="G7" s="76" t="n">
        <x:f>EDATE('Assumptions'!$D$9,3)</x:f>
        <x:v>46419</x:v>
      </x:c>
      <x:c r="H7" s="76" t="n">
        <x:f>EDATE('Assumptions'!$D$9,4)</x:f>
        <x:v>46447</x:v>
      </x:c>
      <x:c r="I7" s="76" t="n">
        <x:f>EDATE('Assumptions'!$D$9,5)</x:f>
        <x:v>46478</x:v>
      </x:c>
      <x:c r="J7" s="76" t="n">
        <x:f>EDATE('Assumptions'!$D$9,6)</x:f>
        <x:v>46508</x:v>
      </x:c>
      <x:c r="K7" s="76" t="n">
        <x:f>EDATE('Assumptions'!$D$9,7)</x:f>
        <x:v>46539</x:v>
      </x:c>
      <x:c r="L7" s="76" t="n">
        <x:f>EDATE('Assumptions'!$D$9,8)</x:f>
        <x:v>46569</x:v>
      </x:c>
      <x:c r="M7" s="76" t="n">
        <x:f>EDATE('Assumptions'!$D$9,9)</x:f>
        <x:v>46600</x:v>
      </x:c>
      <x:c r="N7" s="76" t="n">
        <x:f>EDATE('Assumptions'!$D$9,10)</x:f>
        <x:v>46631</x:v>
      </x:c>
      <x:c r="O7" s="76" t="n">
        <x:f>EDATE('Assumptions'!$D$9,11)</x:f>
        <x:v>46661</x:v>
      </x:c>
      <x:c r="P7" s="76" t="n">
        <x:f>EDATE('Assumptions'!$D$9,12)</x:f>
        <x:v>46692</x:v>
      </x:c>
      <x:c r="Q7" s="76" t="n">
        <x:f>EDATE('Assumptions'!$D$9,13)</x:f>
        <x:v>46722</x:v>
      </x:c>
      <x:c r="R7" s="76" t="n">
        <x:f>EDATE('Assumptions'!$D$9,14)</x:f>
        <x:v>46753</x:v>
      </x:c>
      <x:c r="S7" s="76" t="n">
        <x:f>EDATE('Assumptions'!$D$9,15)</x:f>
        <x:v>46784</x:v>
      </x:c>
      <x:c r="T7" s="76" t="n">
        <x:f>EDATE('Assumptions'!$D$9,16)</x:f>
        <x:v>46813</x:v>
      </x:c>
      <x:c r="U7" s="76" t="n">
        <x:f>EDATE('Assumptions'!$D$9,17)</x:f>
        <x:v>46844</x:v>
      </x:c>
      <x:c r="V7" s="76" t="n">
        <x:f>EDATE('Assumptions'!$D$9,18)</x:f>
        <x:v>46874</x:v>
      </x:c>
      <x:c r="W7" s="76" t="n">
        <x:f>EDATE('Assumptions'!$D$9,19)</x:f>
        <x:v>46905</x:v>
      </x:c>
      <x:c r="X7" s="76" t="n">
        <x:f>EDATE('Assumptions'!$D$9,20)</x:f>
        <x:v>46935</x:v>
      </x:c>
      <x:c r="Y7" s="76" t="n">
        <x:f>EDATE('Assumptions'!$D$9,21)</x:f>
        <x:v>46966</x:v>
      </x:c>
      <x:c r="Z7" s="76" t="n">
        <x:f>EDATE('Assumptions'!$D$9,22)</x:f>
        <x:v>46997</x:v>
      </x:c>
      <x:c r="AA7" s="76" t="n">
        <x:f>EDATE('Assumptions'!$D$9,23)</x:f>
        <x:v>47027</x:v>
      </x:c>
    </x:row>
    <x:row r="8" ht="21" customHeight="1">
      <x:c r="A8" s="50"/>
      <x:c r="B8" s="50"/>
      <x:c r="C8" s="50" t="str">
        <x:v>Period index</x:v>
      </x:c>
      <x:c r="D8" s="50" t="n">
        <x:v>1</x:v>
      </x:c>
      <x:c r="E8" s="50" t="n">
        <x:v>2</x:v>
      </x:c>
      <x:c r="F8" s="50" t="n">
        <x:v>3</x:v>
      </x:c>
      <x:c r="G8" s="50" t="n">
        <x:v>4</x:v>
      </x:c>
      <x:c r="H8" s="50" t="n">
        <x:v>5</x:v>
      </x:c>
      <x:c r="I8" s="50" t="n">
        <x:v>6</x:v>
      </x:c>
      <x:c r="J8" s="50" t="n">
        <x:v>7</x:v>
      </x:c>
      <x:c r="K8" s="50" t="n">
        <x:v>8</x:v>
      </x:c>
      <x:c r="L8" s="50" t="n">
        <x:v>9</x:v>
      </x:c>
      <x:c r="M8" s="50" t="n">
        <x:v>10</x:v>
      </x:c>
      <x:c r="N8" s="50" t="n">
        <x:v>11</x:v>
      </x:c>
      <x:c r="O8" s="50" t="n">
        <x:v>12</x:v>
      </x:c>
      <x:c r="P8" s="50" t="n">
        <x:v>13</x:v>
      </x:c>
      <x:c r="Q8" s="50" t="n">
        <x:v>14</x:v>
      </x:c>
      <x:c r="R8" s="50" t="n">
        <x:v>15</x:v>
      </x:c>
      <x:c r="S8" s="50" t="n">
        <x:v>16</x:v>
      </x:c>
      <x:c r="T8" s="50" t="n">
        <x:v>17</x:v>
      </x:c>
      <x:c r="U8" s="50" t="n">
        <x:v>18</x:v>
      </x:c>
      <x:c r="V8" s="50" t="n">
        <x:v>19</x:v>
      </x:c>
      <x:c r="W8" s="50" t="n">
        <x:v>20</x:v>
      </x:c>
      <x:c r="X8" s="50" t="n">
        <x:v>21</x:v>
      </x:c>
      <x:c r="Y8" s="50" t="n">
        <x:v>22</x:v>
      </x:c>
      <x:c r="Z8" s="50" t="n">
        <x:v>23</x:v>
      </x:c>
      <x:c r="AA8" s="50" t="n">
        <x:v>24</x:v>
      </x:c>
    </x:row>
    <x:row r="9" ht="21" customHeight="1">
      <x:c r="A9" s="50"/>
      <x:c r="B9" s="50"/>
      <x:c r="C9" s="50"/>
      <x:c r="D9" s="50"/>
      <x:c r="E9" s="50"/>
      <x:c r="F9" s="50"/>
      <x:c r="G9" s="50"/>
      <x:c r="H9" s="50"/>
      <x:c r="I9" s="50"/>
      <x:c r="J9" s="50"/>
      <x:c r="K9" s="50"/>
      <x:c r="L9" s="50"/>
      <x:c r="M9" s="50"/>
      <x:c r="N9" s="50"/>
      <x:c r="O9" s="50"/>
      <x:c r="P9" s="50"/>
      <x:c r="Q9" s="50"/>
      <x:c r="R9" s="50"/>
      <x:c r="S9" s="50"/>
      <x:c r="T9" s="50"/>
      <x:c r="U9" s="50"/>
      <x:c r="V9" s="50"/>
      <x:c r="W9" s="50"/>
      <x:c r="X9" s="50"/>
      <x:c r="Y9" s="50"/>
      <x:c r="Z9" s="50"/>
      <x:c r="AA9" s="50"/>
    </x:row>
    <x:row r="10" ht="21" customHeight="1">
      <x:c r="A10" s="50"/>
      <x:c r="B10" s="50"/>
      <x:c r="C10" s="77" t="str">
        <x:v>WITHOUT recommendations | continuing business</x:v>
      </x:c>
      <x:c r="D10" s="77"/>
      <x:c r="E10" s="77"/>
      <x:c r="F10" s="77"/>
      <x:c r="G10" s="77"/>
      <x:c r="H10" s="77"/>
      <x:c r="I10" s="77"/>
      <x:c r="J10" s="77"/>
      <x:c r="K10" s="77"/>
      <x:c r="L10" s="77"/>
      <x:c r="M10" s="77"/>
      <x:c r="N10" s="77"/>
      <x:c r="O10" s="77"/>
      <x:c r="P10" s="77"/>
      <x:c r="Q10" s="77"/>
      <x:c r="R10" s="77"/>
      <x:c r="S10" s="77"/>
      <x:c r="T10" s="77"/>
      <x:c r="U10" s="77"/>
      <x:c r="V10" s="77"/>
      <x:c r="W10" s="77"/>
      <x:c r="X10" s="77"/>
      <x:c r="Y10" s="77"/>
      <x:c r="Z10" s="77"/>
      <x:c r="AA10" s="77"/>
    </x:row>
    <x:row r="11" ht="21" customHeight="1">
      <x:c r="A11" s="50"/>
      <x:c r="B11" s="50"/>
      <x:c r="C11" s="50" t="str">
        <x:v>Eligible acquisition sessions</x:v>
      </x:c>
      <x:c r="D11" s="66" t="n">
        <x:f>IF('Assumptions'!$D$7&lt;&gt;"Ready","Not supplied",'Assumptions'!$D$13*(1+'Assumptions'!$D$14)^(D8-1))</x:f>
        <x:v>10000</x:v>
      </x:c>
      <x:c r="E11" s="66" t="n">
        <x:f>IF('Assumptions'!$D$7&lt;&gt;"Ready","Not supplied",'Assumptions'!$D$13*(1+'Assumptions'!$D$14)^(E8-1))</x:f>
        <x:v>10000</x:v>
      </x:c>
      <x:c r="F11" s="66" t="n">
        <x:f>IF('Assumptions'!$D$7&lt;&gt;"Ready","Not supplied",'Assumptions'!$D$13*(1+'Assumptions'!$D$14)^(F8-1))</x:f>
        <x:v>10000</x:v>
      </x:c>
      <x:c r="G11" s="66" t="n">
        <x:f>IF('Assumptions'!$D$7&lt;&gt;"Ready","Not supplied",'Assumptions'!$D$13*(1+'Assumptions'!$D$14)^(G8-1))</x:f>
        <x:v>10000</x:v>
      </x:c>
      <x:c r="H11" s="66" t="n">
        <x:f>IF('Assumptions'!$D$7&lt;&gt;"Ready","Not supplied",'Assumptions'!$D$13*(1+'Assumptions'!$D$14)^(H8-1))</x:f>
        <x:v>10000</x:v>
      </x:c>
      <x:c r="I11" s="66" t="n">
        <x:f>IF('Assumptions'!$D$7&lt;&gt;"Ready","Not supplied",'Assumptions'!$D$13*(1+'Assumptions'!$D$14)^(I8-1))</x:f>
        <x:v>10000</x:v>
      </x:c>
      <x:c r="J11" s="66" t="n">
        <x:f>IF('Assumptions'!$D$7&lt;&gt;"Ready","Not supplied",'Assumptions'!$D$13*(1+'Assumptions'!$D$14)^(J8-1))</x:f>
        <x:v>10000</x:v>
      </x:c>
      <x:c r="K11" s="66" t="n">
        <x:f>IF('Assumptions'!$D$7&lt;&gt;"Ready","Not supplied",'Assumptions'!$D$13*(1+'Assumptions'!$D$14)^(K8-1))</x:f>
        <x:v>10000</x:v>
      </x:c>
      <x:c r="L11" s="66" t="n">
        <x:f>IF('Assumptions'!$D$7&lt;&gt;"Ready","Not supplied",'Assumptions'!$D$13*(1+'Assumptions'!$D$14)^(L8-1))</x:f>
        <x:v>10000</x:v>
      </x:c>
      <x:c r="M11" s="66" t="n">
        <x:f>IF('Assumptions'!$D$7&lt;&gt;"Ready","Not supplied",'Assumptions'!$D$13*(1+'Assumptions'!$D$14)^(M8-1))</x:f>
        <x:v>10000</x:v>
      </x:c>
      <x:c r="N11" s="66" t="n">
        <x:f>IF('Assumptions'!$D$7&lt;&gt;"Ready","Not supplied",'Assumptions'!$D$13*(1+'Assumptions'!$D$14)^(N8-1))</x:f>
        <x:v>10000</x:v>
      </x:c>
      <x:c r="O11" s="66" t="n">
        <x:f>IF('Assumptions'!$D$7&lt;&gt;"Ready","Not supplied",'Assumptions'!$D$13*(1+'Assumptions'!$D$14)^(O8-1))</x:f>
        <x:v>10000</x:v>
      </x:c>
      <x:c r="P11" s="66" t="n">
        <x:f>IF('Assumptions'!$D$7&lt;&gt;"Ready","Not supplied",'Assumptions'!$D$13*(1+'Assumptions'!$D$14)^(P8-1))</x:f>
        <x:v>10000</x:v>
      </x:c>
      <x:c r="Q11" s="66" t="n">
        <x:f>IF('Assumptions'!$D$7&lt;&gt;"Ready","Not supplied",'Assumptions'!$D$13*(1+'Assumptions'!$D$14)^(Q8-1))</x:f>
        <x:v>10000</x:v>
      </x:c>
      <x:c r="R11" s="66" t="n">
        <x:f>IF('Assumptions'!$D$7&lt;&gt;"Ready","Not supplied",'Assumptions'!$D$13*(1+'Assumptions'!$D$14)^(R8-1))</x:f>
        <x:v>10000</x:v>
      </x:c>
      <x:c r="S11" s="66" t="n">
        <x:f>IF('Assumptions'!$D$7&lt;&gt;"Ready","Not supplied",'Assumptions'!$D$13*(1+'Assumptions'!$D$14)^(S8-1))</x:f>
        <x:v>10000</x:v>
      </x:c>
      <x:c r="T11" s="66" t="n">
        <x:f>IF('Assumptions'!$D$7&lt;&gt;"Ready","Not supplied",'Assumptions'!$D$13*(1+'Assumptions'!$D$14)^(T8-1))</x:f>
        <x:v>10000</x:v>
      </x:c>
      <x:c r="U11" s="66" t="n">
        <x:f>IF('Assumptions'!$D$7&lt;&gt;"Ready","Not supplied",'Assumptions'!$D$13*(1+'Assumptions'!$D$14)^(U8-1))</x:f>
        <x:v>10000</x:v>
      </x:c>
      <x:c r="V11" s="66" t="n">
        <x:f>IF('Assumptions'!$D$7&lt;&gt;"Ready","Not supplied",'Assumptions'!$D$13*(1+'Assumptions'!$D$14)^(V8-1))</x:f>
        <x:v>10000</x:v>
      </x:c>
      <x:c r="W11" s="66" t="n">
        <x:f>IF('Assumptions'!$D$7&lt;&gt;"Ready","Not supplied",'Assumptions'!$D$13*(1+'Assumptions'!$D$14)^(W8-1))</x:f>
        <x:v>10000</x:v>
      </x:c>
      <x:c r="X11" s="66" t="n">
        <x:f>IF('Assumptions'!$D$7&lt;&gt;"Ready","Not supplied",'Assumptions'!$D$13*(1+'Assumptions'!$D$14)^(X8-1))</x:f>
        <x:v>10000</x:v>
      </x:c>
      <x:c r="Y11" s="66" t="n">
        <x:f>IF('Assumptions'!$D$7&lt;&gt;"Ready","Not supplied",'Assumptions'!$D$13*(1+'Assumptions'!$D$14)^(Y8-1))</x:f>
        <x:v>10000</x:v>
      </x:c>
      <x:c r="Z11" s="66" t="n">
        <x:f>IF('Assumptions'!$D$7&lt;&gt;"Ready","Not supplied",'Assumptions'!$D$13*(1+'Assumptions'!$D$14)^(Z8-1))</x:f>
        <x:v>10000</x:v>
      </x:c>
      <x:c r="AA11" s="66" t="n">
        <x:f>IF('Assumptions'!$D$7&lt;&gt;"Ready","Not supplied",'Assumptions'!$D$13*(1+'Assumptions'!$D$14)^(AA8-1))</x:f>
        <x:v>10000</x:v>
      </x:c>
    </x:row>
    <x:row r="12" ht="21" customHeight="1">
      <x:c r="A12" s="50"/>
      <x:c r="B12" s="50"/>
      <x:c r="C12" s="50" t="str">
        <x:v>New buyers / first orders</x:v>
      </x:c>
      <x:c r="D12" s="66" t="n">
        <x:f>IF('Assumptions'!$D$7&lt;&gt;"Ready","Not supplied",D11*'Assumptions'!$D$15)</x:f>
        <x:v>200</x:v>
      </x:c>
      <x:c r="E12" s="66" t="n">
        <x:f>IF('Assumptions'!$D$7&lt;&gt;"Ready","Not supplied",E11*'Assumptions'!$D$15)</x:f>
        <x:v>200</x:v>
      </x:c>
      <x:c r="F12" s="66" t="n">
        <x:f>IF('Assumptions'!$D$7&lt;&gt;"Ready","Not supplied",F11*'Assumptions'!$D$15)</x:f>
        <x:v>200</x:v>
      </x:c>
      <x:c r="G12" s="66" t="n">
        <x:f>IF('Assumptions'!$D$7&lt;&gt;"Ready","Not supplied",G11*'Assumptions'!$D$15)</x:f>
        <x:v>200</x:v>
      </x:c>
      <x:c r="H12" s="66" t="n">
        <x:f>IF('Assumptions'!$D$7&lt;&gt;"Ready","Not supplied",H11*'Assumptions'!$D$15)</x:f>
        <x:v>200</x:v>
      </x:c>
      <x:c r="I12" s="66" t="n">
        <x:f>IF('Assumptions'!$D$7&lt;&gt;"Ready","Not supplied",I11*'Assumptions'!$D$15)</x:f>
        <x:v>200</x:v>
      </x:c>
      <x:c r="J12" s="66" t="n">
        <x:f>IF('Assumptions'!$D$7&lt;&gt;"Ready","Not supplied",J11*'Assumptions'!$D$15)</x:f>
        <x:v>200</x:v>
      </x:c>
      <x:c r="K12" s="66" t="n">
        <x:f>IF('Assumptions'!$D$7&lt;&gt;"Ready","Not supplied",K11*'Assumptions'!$D$15)</x:f>
        <x:v>200</x:v>
      </x:c>
      <x:c r="L12" s="66" t="n">
        <x:f>IF('Assumptions'!$D$7&lt;&gt;"Ready","Not supplied",L11*'Assumptions'!$D$15)</x:f>
        <x:v>200</x:v>
      </x:c>
      <x:c r="M12" s="66" t="n">
        <x:f>IF('Assumptions'!$D$7&lt;&gt;"Ready","Not supplied",M11*'Assumptions'!$D$15)</x:f>
        <x:v>200</x:v>
      </x:c>
      <x:c r="N12" s="66" t="n">
        <x:f>IF('Assumptions'!$D$7&lt;&gt;"Ready","Not supplied",N11*'Assumptions'!$D$15)</x:f>
        <x:v>200</x:v>
      </x:c>
      <x:c r="O12" s="66" t="n">
        <x:f>IF('Assumptions'!$D$7&lt;&gt;"Ready","Not supplied",O11*'Assumptions'!$D$15)</x:f>
        <x:v>200</x:v>
      </x:c>
      <x:c r="P12" s="66" t="n">
        <x:f>IF('Assumptions'!$D$7&lt;&gt;"Ready","Not supplied",P11*'Assumptions'!$D$15)</x:f>
        <x:v>200</x:v>
      </x:c>
      <x:c r="Q12" s="66" t="n">
        <x:f>IF('Assumptions'!$D$7&lt;&gt;"Ready","Not supplied",Q11*'Assumptions'!$D$15)</x:f>
        <x:v>200</x:v>
      </x:c>
      <x:c r="R12" s="66" t="n">
        <x:f>IF('Assumptions'!$D$7&lt;&gt;"Ready","Not supplied",R11*'Assumptions'!$D$15)</x:f>
        <x:v>200</x:v>
      </x:c>
      <x:c r="S12" s="66" t="n">
        <x:f>IF('Assumptions'!$D$7&lt;&gt;"Ready","Not supplied",S11*'Assumptions'!$D$15)</x:f>
        <x:v>200</x:v>
      </x:c>
      <x:c r="T12" s="66" t="n">
        <x:f>IF('Assumptions'!$D$7&lt;&gt;"Ready","Not supplied",T11*'Assumptions'!$D$15)</x:f>
        <x:v>200</x:v>
      </x:c>
      <x:c r="U12" s="66" t="n">
        <x:f>IF('Assumptions'!$D$7&lt;&gt;"Ready","Not supplied",U11*'Assumptions'!$D$15)</x:f>
        <x:v>200</x:v>
      </x:c>
      <x:c r="V12" s="66" t="n">
        <x:f>IF('Assumptions'!$D$7&lt;&gt;"Ready","Not supplied",V11*'Assumptions'!$D$15)</x:f>
        <x:v>200</x:v>
      </x:c>
      <x:c r="W12" s="66" t="n">
        <x:f>IF('Assumptions'!$D$7&lt;&gt;"Ready","Not supplied",W11*'Assumptions'!$D$15)</x:f>
        <x:v>200</x:v>
      </x:c>
      <x:c r="X12" s="66" t="n">
        <x:f>IF('Assumptions'!$D$7&lt;&gt;"Ready","Not supplied",X11*'Assumptions'!$D$15)</x:f>
        <x:v>200</x:v>
      </x:c>
      <x:c r="Y12" s="66" t="n">
        <x:f>IF('Assumptions'!$D$7&lt;&gt;"Ready","Not supplied",Y11*'Assumptions'!$D$15)</x:f>
        <x:v>200</x:v>
      </x:c>
      <x:c r="Z12" s="66" t="n">
        <x:f>IF('Assumptions'!$D$7&lt;&gt;"Ready","Not supplied",Z11*'Assumptions'!$D$15)</x:f>
        <x:v>200</x:v>
      </x:c>
      <x:c r="AA12" s="66" t="n">
        <x:f>IF('Assumptions'!$D$7&lt;&gt;"Ready","Not supplied",AA11*'Assumptions'!$D$15)</x:f>
        <x:v>200</x:v>
      </x:c>
    </x:row>
    <x:row r="13" ht="21" customHeight="1">
      <x:c r="A13" s="50"/>
      <x:c r="B13" s="50"/>
      <x:c r="C13" s="50" t="str">
        <x:v>Opening active buyer pool</x:v>
      </x:c>
      <x:c r="D13" s="66" t="n">
        <x:f>IF('Assumptions'!$D$7&lt;&gt;"Ready","Not supplied",'Assumptions'!$D$16)</x:f>
        <x:v>1000</x:v>
      </x:c>
      <x:c r="E13" s="66" t="n">
        <x:f>IF('Assumptions'!$D$7&lt;&gt;"Ready","Not supplied",D16)</x:f>
        <x:v>1176</x:v>
      </x:c>
      <x:c r="F13" s="66" t="n">
        <x:f>IF('Assumptions'!$D$7&lt;&gt;"Ready","Not supplied",E16)</x:f>
        <x:v>1348.48</x:v>
      </x:c>
      <x:c r="G13" s="66" t="n">
        <x:f>IF('Assumptions'!$D$7&lt;&gt;"Ready","Not supplied",F16)</x:f>
        <x:v>1517.5104</x:v>
      </x:c>
      <x:c r="H13" s="66" t="n">
        <x:f>IF('Assumptions'!$D$7&lt;&gt;"Ready","Not supplied",G16)</x:f>
        <x:v>1683.1601919999998</x:v>
      </x:c>
      <x:c r="I13" s="66" t="n">
        <x:f>IF('Assumptions'!$D$7&lt;&gt;"Ready","Not supplied",H16)</x:f>
        <x:v>1845.4969881599998</x:v>
      </x:c>
      <x:c r="J13" s="66" t="n">
        <x:f>IF('Assumptions'!$D$7&lt;&gt;"Ready","Not supplied",I16)</x:f>
        <x:v>2004.5870483967997</x:v>
      </x:c>
      <x:c r="K13" s="66" t="n">
        <x:f>IF('Assumptions'!$D$7&lt;&gt;"Ready","Not supplied",J16)</x:f>
        <x:v>2160.4953074288637</x:v>
      </x:c>
      <x:c r="L13" s="66" t="n">
        <x:f>IF('Assumptions'!$D$7&lt;&gt;"Ready","Not supplied",K16)</x:f>
        <x:v>2313.2854012802864</x:v>
      </x:c>
      <x:c r="M13" s="66" t="n">
        <x:f>IF('Assumptions'!$D$7&lt;&gt;"Ready","Not supplied",L16)</x:f>
        <x:v>2463.0196932546805</x:v>
      </x:c>
      <x:c r="N13" s="66" t="n">
        <x:f>IF('Assumptions'!$D$7&lt;&gt;"Ready","Not supplied",M16)</x:f>
        <x:v>2609.759299389587</x:v>
      </x:c>
      <x:c r="O13" s="66" t="n">
        <x:f>IF('Assumptions'!$D$7&lt;&gt;"Ready","Not supplied",N16)</x:f>
        <x:v>2753.564113401795</x:v>
      </x:c>
      <x:c r="P13" s="66" t="n">
        <x:f>IF('Assumptions'!$D$7&lt;&gt;"Ready","Not supplied",O16)</x:f>
        <x:v>2894.492831133759</x:v>
      </x:c>
      <x:c r="Q13" s="66" t="n">
        <x:f>IF('Assumptions'!$D$7&lt;&gt;"Ready","Not supplied",P16)</x:f>
        <x:v>3032.6029745110836</x:v>
      </x:c>
      <x:c r="R13" s="66" t="n">
        <x:f>IF('Assumptions'!$D$7&lt;&gt;"Ready","Not supplied",Q16)</x:f>
        <x:v>3167.950915020862</x:v>
      </x:c>
      <x:c r="S13" s="66" t="n">
        <x:f>IF('Assumptions'!$D$7&lt;&gt;"Ready","Not supplied",R16)</x:f>
        <x:v>3300.5918967204448</x:v>
      </x:c>
      <x:c r="T13" s="66" t="n">
        <x:f>IF('Assumptions'!$D$7&lt;&gt;"Ready","Not supplied",S16)</x:f>
        <x:v>3430.580058786036</x:v>
      </x:c>
      <x:c r="U13" s="66" t="n">
        <x:f>IF('Assumptions'!$D$7&lt;&gt;"Ready","Not supplied",T16)</x:f>
        <x:v>3557.968457610315</x:v>
      </x:c>
      <x:c r="V13" s="66" t="n">
        <x:f>IF('Assumptions'!$D$7&lt;&gt;"Ready","Not supplied",U16)</x:f>
        <x:v>3682.809088458109</x:v>
      </x:c>
      <x:c r="W13" s="66" t="n">
        <x:f>IF('Assumptions'!$D$7&lt;&gt;"Ready","Not supplied",V16)</x:f>
        <x:v>3805.1529066889466</x:v>
      </x:c>
      <x:c r="X13" s="66" t="n">
        <x:f>IF('Assumptions'!$D$7&lt;&gt;"Ready","Not supplied",W16)</x:f>
        <x:v>3925.0498485551675</x:v>
      </x:c>
      <x:c r="Y13" s="66" t="n">
        <x:f>IF('Assumptions'!$D$7&lt;&gt;"Ready","Not supplied",X16)</x:f>
        <x:v>4042.5488515840634</x:v>
      </x:c>
      <x:c r="Z13" s="66" t="n">
        <x:f>IF('Assumptions'!$D$7&lt;&gt;"Ready","Not supplied",Y16)</x:f>
        <x:v>4157.697874552382</x:v>
      </x:c>
      <x:c r="AA13" s="66" t="n">
        <x:f>IF('Assumptions'!$D$7&lt;&gt;"Ready","Not supplied",Z16)</x:f>
        <x:v>4270.5439170613345</x:v>
      </x:c>
    </x:row>
    <x:row r="14" ht="21" customHeight="1">
      <x:c r="A14" s="50"/>
      <x:c r="B14" s="50"/>
      <x:c r="C14" s="50" t="str">
        <x:v>Repeat orders</x:v>
      </x:c>
      <x:c r="D14" s="66" t="n">
        <x:f>IF('Assumptions'!$D$7&lt;&gt;"Ready","Not supplied",D13*'Assumptions'!$D$17)</x:f>
        <x:v>40</x:v>
      </x:c>
      <x:c r="E14" s="66" t="n">
        <x:f>IF('Assumptions'!$D$7&lt;&gt;"Ready","Not supplied",E13*'Assumptions'!$D$17)</x:f>
        <x:v>47.04</x:v>
      </x:c>
      <x:c r="F14" s="66" t="n">
        <x:f>IF('Assumptions'!$D$7&lt;&gt;"Ready","Not supplied",F13*'Assumptions'!$D$17)</x:f>
        <x:v>53.9392</x:v>
      </x:c>
      <x:c r="G14" s="66" t="n">
        <x:f>IF('Assumptions'!$D$7&lt;&gt;"Ready","Not supplied",G13*'Assumptions'!$D$17)</x:f>
        <x:v>60.700416</x:v>
      </x:c>
      <x:c r="H14" s="66" t="n">
        <x:f>IF('Assumptions'!$D$7&lt;&gt;"Ready","Not supplied",H13*'Assumptions'!$D$17)</x:f>
        <x:v>67.32640767999999</x:v>
      </x:c>
      <x:c r="I14" s="66" t="n">
        <x:f>IF('Assumptions'!$D$7&lt;&gt;"Ready","Not supplied",I13*'Assumptions'!$D$17)</x:f>
        <x:v>73.81987952639999</x:v>
      </x:c>
      <x:c r="J14" s="66" t="n">
        <x:f>IF('Assumptions'!$D$7&lt;&gt;"Ready","Not supplied",J13*'Assumptions'!$D$17)</x:f>
        <x:v>80.183481935872</x:v>
      </x:c>
      <x:c r="K14" s="66" t="n">
        <x:f>IF('Assumptions'!$D$7&lt;&gt;"Ready","Not supplied",K13*'Assumptions'!$D$17)</x:f>
        <x:v>86.41981229715455</x:v>
      </x:c>
      <x:c r="L14" s="66" t="n">
        <x:f>IF('Assumptions'!$D$7&lt;&gt;"Ready","Not supplied",L13*'Assumptions'!$D$17)</x:f>
        <x:v>92.53141605121145</x:v>
      </x:c>
      <x:c r="M14" s="66" t="n">
        <x:f>IF('Assumptions'!$D$7&lt;&gt;"Ready","Not supplied",M13*'Assumptions'!$D$17)</x:f>
        <x:v>98.52078773018722</x:v>
      </x:c>
      <x:c r="N14" s="66" t="n">
        <x:f>IF('Assumptions'!$D$7&lt;&gt;"Ready","Not supplied",N13*'Assumptions'!$D$17)</x:f>
        <x:v>104.39037197558348</x:v>
      </x:c>
      <x:c r="O14" s="66" t="n">
        <x:f>IF('Assumptions'!$D$7&lt;&gt;"Ready","Not supplied",O13*'Assumptions'!$D$17)</x:f>
        <x:v>110.1425645360718</x:v>
      </x:c>
      <x:c r="P14" s="66" t="n">
        <x:f>IF('Assumptions'!$D$7&lt;&gt;"Ready","Not supplied",P13*'Assumptions'!$D$17)</x:f>
        <x:v>115.77971324535037</x:v>
      </x:c>
      <x:c r="Q14" s="66" t="n">
        <x:f>IF('Assumptions'!$D$7&lt;&gt;"Ready","Not supplied",Q13*'Assumptions'!$D$17)</x:f>
        <x:v>121.30411898044335</x:v>
      </x:c>
      <x:c r="R14" s="66" t="n">
        <x:f>IF('Assumptions'!$D$7&lt;&gt;"Ready","Not supplied",R13*'Assumptions'!$D$17)</x:f>
        <x:v>126.71803660083448</x:v>
      </x:c>
      <x:c r="S14" s="66" t="n">
        <x:f>IF('Assumptions'!$D$7&lt;&gt;"Ready","Not supplied",S13*'Assumptions'!$D$17)</x:f>
        <x:v>132.0236758688178</x:v>
      </x:c>
      <x:c r="T14" s="66" t="n">
        <x:f>IF('Assumptions'!$D$7&lt;&gt;"Ready","Not supplied",T13*'Assumptions'!$D$17)</x:f>
        <x:v>137.22320235144144</x:v>
      </x:c>
      <x:c r="U14" s="66" t="n">
        <x:f>IF('Assumptions'!$D$7&lt;&gt;"Ready","Not supplied",U13*'Assumptions'!$D$17)</x:f>
        <x:v>142.3187383044126</x:v>
      </x:c>
      <x:c r="V14" s="66" t="n">
        <x:f>IF('Assumptions'!$D$7&lt;&gt;"Ready","Not supplied",V13*'Assumptions'!$D$17)</x:f>
        <x:v>147.31236353832435</x:v>
      </x:c>
      <x:c r="W14" s="66" t="n">
        <x:f>IF('Assumptions'!$D$7&lt;&gt;"Ready","Not supplied",W13*'Assumptions'!$D$17)</x:f>
        <x:v>152.20611626755786</x:v>
      </x:c>
      <x:c r="X14" s="66" t="n">
        <x:f>IF('Assumptions'!$D$7&lt;&gt;"Ready","Not supplied",X13*'Assumptions'!$D$17)</x:f>
        <x:v>157.0019939422067</x:v>
      </x:c>
      <x:c r="Y14" s="66" t="n">
        <x:f>IF('Assumptions'!$D$7&lt;&gt;"Ready","Not supplied",Y13*'Assumptions'!$D$17)</x:f>
        <x:v>161.70195406336254</x:v>
      </x:c>
      <x:c r="Z14" s="66" t="n">
        <x:f>IF('Assumptions'!$D$7&lt;&gt;"Ready","Not supplied",Z13*'Assumptions'!$D$17)</x:f>
        <x:v>166.3079149820953</x:v>
      </x:c>
      <x:c r="AA14" s="66" t="n">
        <x:f>IF('Assumptions'!$D$7&lt;&gt;"Ready","Not supplied",AA13*'Assumptions'!$D$17)</x:f>
        <x:v>170.82175668245338</x:v>
      </x:c>
    </x:row>
    <x:row r="15" ht="21" customHeight="1">
      <x:c r="A15" s="50"/>
      <x:c r="B15" s="50"/>
      <x:c r="C15" s="50" t="str">
        <x:v>Total D2C orders</x:v>
      </x:c>
      <x:c r="D15" s="66" t="n">
        <x:f>IF('Assumptions'!$D$7&lt;&gt;"Ready","Not supplied",SUM(D12,D14))</x:f>
        <x:v>240</x:v>
      </x:c>
      <x:c r="E15" s="66" t="n">
        <x:f>IF('Assumptions'!$D$7&lt;&gt;"Ready","Not supplied",SUM(E12,E14))</x:f>
        <x:v>247.04</x:v>
      </x:c>
      <x:c r="F15" s="66" t="n">
        <x:f>IF('Assumptions'!$D$7&lt;&gt;"Ready","Not supplied",SUM(F12,F14))</x:f>
        <x:v>253.9392</x:v>
      </x:c>
      <x:c r="G15" s="66" t="n">
        <x:f>IF('Assumptions'!$D$7&lt;&gt;"Ready","Not supplied",SUM(G12,G14))</x:f>
        <x:v>260.700416</x:v>
      </x:c>
      <x:c r="H15" s="66" t="n">
        <x:f>IF('Assumptions'!$D$7&lt;&gt;"Ready","Not supplied",SUM(H12,H14))</x:f>
        <x:v>267.32640768</x:v>
      </x:c>
      <x:c r="I15" s="66" t="n">
        <x:f>IF('Assumptions'!$D$7&lt;&gt;"Ready","Not supplied",SUM(I12,I14))</x:f>
        <x:v>273.8198795264</x:v>
      </x:c>
      <x:c r="J15" s="66" t="n">
        <x:f>IF('Assumptions'!$D$7&lt;&gt;"Ready","Not supplied",SUM(J12,J14))</x:f>
        <x:v>280.183481935872</x:v>
      </x:c>
      <x:c r="K15" s="66" t="n">
        <x:f>IF('Assumptions'!$D$7&lt;&gt;"Ready","Not supplied",SUM(K12,K14))</x:f>
        <x:v>286.4198122971545</x:v>
      </x:c>
      <x:c r="L15" s="66" t="n">
        <x:f>IF('Assumptions'!$D$7&lt;&gt;"Ready","Not supplied",SUM(L12,L14))</x:f>
        <x:v>292.53141605121147</x:v>
      </x:c>
      <x:c r="M15" s="66" t="n">
        <x:f>IF('Assumptions'!$D$7&lt;&gt;"Ready","Not supplied",SUM(M12,M14))</x:f>
        <x:v>298.52078773018724</x:v>
      </x:c>
      <x:c r="N15" s="66" t="n">
        <x:f>IF('Assumptions'!$D$7&lt;&gt;"Ready","Not supplied",SUM(N12,N14))</x:f>
        <x:v>304.3903719755835</x:v>
      </x:c>
      <x:c r="O15" s="66" t="n">
        <x:f>IF('Assumptions'!$D$7&lt;&gt;"Ready","Not supplied",SUM(O12,O14))</x:f>
        <x:v>310.1425645360718</x:v>
      </x:c>
      <x:c r="P15" s="66" t="n">
        <x:f>IF('Assumptions'!$D$7&lt;&gt;"Ready","Not supplied",SUM(P12,P14))</x:f>
        <x:v>315.77971324535037</x:v>
      </x:c>
      <x:c r="Q15" s="66" t="n">
        <x:f>IF('Assumptions'!$D$7&lt;&gt;"Ready","Not supplied",SUM(Q12,Q14))</x:f>
        <x:v>321.3041189804434</x:v>
      </x:c>
      <x:c r="R15" s="66" t="n">
        <x:f>IF('Assumptions'!$D$7&lt;&gt;"Ready","Not supplied",SUM(R12,R14))</x:f>
        <x:v>326.71803660083447</x:v>
      </x:c>
      <x:c r="S15" s="66" t="n">
        <x:f>IF('Assumptions'!$D$7&lt;&gt;"Ready","Not supplied",SUM(S12,S14))</x:f>
        <x:v>332.0236758688178</x:v>
      </x:c>
      <x:c r="T15" s="66" t="n">
        <x:f>IF('Assumptions'!$D$7&lt;&gt;"Ready","Not supplied",SUM(T12,T14))</x:f>
        <x:v>337.22320235144144</x:v>
      </x:c>
      <x:c r="U15" s="66" t="n">
        <x:f>IF('Assumptions'!$D$7&lt;&gt;"Ready","Not supplied",SUM(U12,U14))</x:f>
        <x:v>342.3187383044126</x:v>
      </x:c>
      <x:c r="V15" s="66" t="n">
        <x:f>IF('Assumptions'!$D$7&lt;&gt;"Ready","Not supplied",SUM(V12,V14))</x:f>
        <x:v>347.31236353832435</x:v>
      </x:c>
      <x:c r="W15" s="66" t="n">
        <x:f>IF('Assumptions'!$D$7&lt;&gt;"Ready","Not supplied",SUM(W12,W14))</x:f>
        <x:v>352.20611626755783</x:v>
      </x:c>
      <x:c r="X15" s="66" t="n">
        <x:f>IF('Assumptions'!$D$7&lt;&gt;"Ready","Not supplied",SUM(X12,X14))</x:f>
        <x:v>357.0019939422067</x:v>
      </x:c>
      <x:c r="Y15" s="66" t="n">
        <x:f>IF('Assumptions'!$D$7&lt;&gt;"Ready","Not supplied",SUM(Y12,Y14))</x:f>
        <x:v>361.70195406336256</x:v>
      </x:c>
      <x:c r="Z15" s="66" t="n">
        <x:f>IF('Assumptions'!$D$7&lt;&gt;"Ready","Not supplied",SUM(Z12,Z14))</x:f>
        <x:v>366.3079149820953</x:v>
      </x:c>
      <x:c r="AA15" s="66" t="n">
        <x:f>IF('Assumptions'!$D$7&lt;&gt;"Ready","Not supplied",SUM(AA12,AA14))</x:f>
        <x:v>370.8217566824534</x:v>
      </x:c>
    </x:row>
    <x:row r="16" ht="21" customHeight="1">
      <x:c r="A16" s="50"/>
      <x:c r="B16" s="50"/>
      <x:c r="C16" s="50" t="str">
        <x:v>Closing active buyer pool</x:v>
      </x:c>
      <x:c r="D16" s="66" t="n">
        <x:f>IF('Assumptions'!$D$7&lt;&gt;"Ready","Not supplied",SUM(D13,D12)*(1-'Assumptions'!$D$18))</x:f>
        <x:v>1176</x:v>
      </x:c>
      <x:c r="E16" s="66" t="n">
        <x:f>IF('Assumptions'!$D$7&lt;&gt;"Ready","Not supplied",SUM(E13,E12)*(1-'Assumptions'!$D$18))</x:f>
        <x:v>1348.48</x:v>
      </x:c>
      <x:c r="F16" s="66" t="n">
        <x:f>IF('Assumptions'!$D$7&lt;&gt;"Ready","Not supplied",SUM(F13,F12)*(1-'Assumptions'!$D$18))</x:f>
        <x:v>1517.5104</x:v>
      </x:c>
      <x:c r="G16" s="66" t="n">
        <x:f>IF('Assumptions'!$D$7&lt;&gt;"Ready","Not supplied",SUM(G13,G12)*(1-'Assumptions'!$D$18))</x:f>
        <x:v>1683.1601919999998</x:v>
      </x:c>
      <x:c r="H16" s="66" t="n">
        <x:f>IF('Assumptions'!$D$7&lt;&gt;"Ready","Not supplied",SUM(H13,H12)*(1-'Assumptions'!$D$18))</x:f>
        <x:v>1845.4969881599998</x:v>
      </x:c>
      <x:c r="I16" s="66" t="n">
        <x:f>IF('Assumptions'!$D$7&lt;&gt;"Ready","Not supplied",SUM(I13,I12)*(1-'Assumptions'!$D$18))</x:f>
        <x:v>2004.5870483967997</x:v>
      </x:c>
      <x:c r="J16" s="66" t="n">
        <x:f>IF('Assumptions'!$D$7&lt;&gt;"Ready","Not supplied",SUM(J13,J12)*(1-'Assumptions'!$D$18))</x:f>
        <x:v>2160.4953074288637</x:v>
      </x:c>
      <x:c r="K16" s="66" t="n">
        <x:f>IF('Assumptions'!$D$7&lt;&gt;"Ready","Not supplied",SUM(K13,K12)*(1-'Assumptions'!$D$18))</x:f>
        <x:v>2313.2854012802864</x:v>
      </x:c>
      <x:c r="L16" s="66" t="n">
        <x:f>IF('Assumptions'!$D$7&lt;&gt;"Ready","Not supplied",SUM(L13,L12)*(1-'Assumptions'!$D$18))</x:f>
        <x:v>2463.0196932546805</x:v>
      </x:c>
      <x:c r="M16" s="66" t="n">
        <x:f>IF('Assumptions'!$D$7&lt;&gt;"Ready","Not supplied",SUM(M13,M12)*(1-'Assumptions'!$D$18))</x:f>
        <x:v>2609.759299389587</x:v>
      </x:c>
      <x:c r="N16" s="66" t="n">
        <x:f>IF('Assumptions'!$D$7&lt;&gt;"Ready","Not supplied",SUM(N13,N12)*(1-'Assumptions'!$D$18))</x:f>
        <x:v>2753.564113401795</x:v>
      </x:c>
      <x:c r="O16" s="66" t="n">
        <x:f>IF('Assumptions'!$D$7&lt;&gt;"Ready","Not supplied",SUM(O13,O12)*(1-'Assumptions'!$D$18))</x:f>
        <x:v>2894.492831133759</x:v>
      </x:c>
      <x:c r="P16" s="66" t="n">
        <x:f>IF('Assumptions'!$D$7&lt;&gt;"Ready","Not supplied",SUM(P13,P12)*(1-'Assumptions'!$D$18))</x:f>
        <x:v>3032.6029745110836</x:v>
      </x:c>
      <x:c r="Q16" s="66" t="n">
        <x:f>IF('Assumptions'!$D$7&lt;&gt;"Ready","Not supplied",SUM(Q13,Q12)*(1-'Assumptions'!$D$18))</x:f>
        <x:v>3167.950915020862</x:v>
      </x:c>
      <x:c r="R16" s="66" t="n">
        <x:f>IF('Assumptions'!$D$7&lt;&gt;"Ready","Not supplied",SUM(R13,R12)*(1-'Assumptions'!$D$18))</x:f>
        <x:v>3300.5918967204448</x:v>
      </x:c>
      <x:c r="S16" s="66" t="n">
        <x:f>IF('Assumptions'!$D$7&lt;&gt;"Ready","Not supplied",SUM(S13,S12)*(1-'Assumptions'!$D$18))</x:f>
        <x:v>3430.580058786036</x:v>
      </x:c>
      <x:c r="T16" s="66" t="n">
        <x:f>IF('Assumptions'!$D$7&lt;&gt;"Ready","Not supplied",SUM(T13,T12)*(1-'Assumptions'!$D$18))</x:f>
        <x:v>3557.968457610315</x:v>
      </x:c>
      <x:c r="U16" s="66" t="n">
        <x:f>IF('Assumptions'!$D$7&lt;&gt;"Ready","Not supplied",SUM(U13,U12)*(1-'Assumptions'!$D$18))</x:f>
        <x:v>3682.809088458109</x:v>
      </x:c>
      <x:c r="V16" s="66" t="n">
        <x:f>IF('Assumptions'!$D$7&lt;&gt;"Ready","Not supplied",SUM(V13,V12)*(1-'Assumptions'!$D$18))</x:f>
        <x:v>3805.1529066889466</x:v>
      </x:c>
      <x:c r="W16" s="66" t="n">
        <x:f>IF('Assumptions'!$D$7&lt;&gt;"Ready","Not supplied",SUM(W13,W12)*(1-'Assumptions'!$D$18))</x:f>
        <x:v>3925.0498485551675</x:v>
      </x:c>
      <x:c r="X16" s="66" t="n">
        <x:f>IF('Assumptions'!$D$7&lt;&gt;"Ready","Not supplied",SUM(X13,X12)*(1-'Assumptions'!$D$18))</x:f>
        <x:v>4042.5488515840634</x:v>
      </x:c>
      <x:c r="Y16" s="66" t="n">
        <x:f>IF('Assumptions'!$D$7&lt;&gt;"Ready","Not supplied",SUM(Y13,Y12)*(1-'Assumptions'!$D$18))</x:f>
        <x:v>4157.697874552382</x:v>
      </x:c>
      <x:c r="Z16" s="66" t="n">
        <x:f>IF('Assumptions'!$D$7&lt;&gt;"Ready","Not supplied",SUM(Z13,Z12)*(1-'Assumptions'!$D$18))</x:f>
        <x:v>4270.5439170613345</x:v>
      </x:c>
      <x:c r="AA16" s="66" t="n">
        <x:f>IF('Assumptions'!$D$7&lt;&gt;"Ready","Not supplied",SUM(AA13,AA12)*(1-'Assumptions'!$D$18))</x:f>
        <x:v>4381.133038720108</x:v>
      </x:c>
    </x:row>
    <x:row r="17" ht="21" customHeight="1">
      <x:c r="A17" s="50"/>
      <x:c r="B17" s="50"/>
      <x:c r="C17" s="50" t="str">
        <x:v>Gross D2C merchandise</x:v>
      </x:c>
      <x:c r="D17" s="66" t="n">
        <x:f>IF('Assumptions'!$D$7&lt;&gt;"Ready","Not supplied",D15*'Assumptions'!$D$19)</x:f>
        <x:v>19200</x:v>
      </x:c>
      <x:c r="E17" s="66" t="n">
        <x:f>IF('Assumptions'!$D$7&lt;&gt;"Ready","Not supplied",E15*'Assumptions'!$D$19)</x:f>
        <x:v>19763.2</x:v>
      </x:c>
      <x:c r="F17" s="66" t="n">
        <x:f>IF('Assumptions'!$D$7&lt;&gt;"Ready","Not supplied",F15*'Assumptions'!$D$19)</x:f>
        <x:v>20315.136</x:v>
      </x:c>
      <x:c r="G17" s="66" t="n">
        <x:f>IF('Assumptions'!$D$7&lt;&gt;"Ready","Not supplied",G15*'Assumptions'!$D$19)</x:f>
        <x:v>20856.033280000003</x:v>
      </x:c>
      <x:c r="H17" s="66" t="n">
        <x:f>IF('Assumptions'!$D$7&lt;&gt;"Ready","Not supplied",H15*'Assumptions'!$D$19)</x:f>
        <x:v>21386.1126144</x:v>
      </x:c>
      <x:c r="I17" s="66" t="n">
        <x:f>IF('Assumptions'!$D$7&lt;&gt;"Ready","Not supplied",I15*'Assumptions'!$D$19)</x:f>
        <x:v>21905.590362111998</x:v>
      </x:c>
      <x:c r="J17" s="66" t="n">
        <x:f>IF('Assumptions'!$D$7&lt;&gt;"Ready","Not supplied",J15*'Assumptions'!$D$19)</x:f>
        <x:v>22414.67855486976</x:v>
      </x:c>
      <x:c r="K17" s="66" t="n">
        <x:f>IF('Assumptions'!$D$7&lt;&gt;"Ready","Not supplied",K15*'Assumptions'!$D$19)</x:f>
        <x:v>22913.58498377236</x:v>
      </x:c>
      <x:c r="L17" s="66" t="n">
        <x:f>IF('Assumptions'!$D$7&lt;&gt;"Ready","Not supplied",L15*'Assumptions'!$D$19)</x:f>
        <x:v>23402.513284096916</x:v>
      </x:c>
      <x:c r="M17" s="66" t="n">
        <x:f>IF('Assumptions'!$D$7&lt;&gt;"Ready","Not supplied",M15*'Assumptions'!$D$19)</x:f>
        <x:v>23881.66301841498</x:v>
      </x:c>
      <x:c r="N17" s="66" t="n">
        <x:f>IF('Assumptions'!$D$7&lt;&gt;"Ready","Not supplied",N15*'Assumptions'!$D$19)</x:f>
        <x:v>24351.22975804668</x:v>
      </x:c>
      <x:c r="O17" s="66" t="n">
        <x:f>IF('Assumptions'!$D$7&lt;&gt;"Ready","Not supplied",O15*'Assumptions'!$D$19)</x:f>
        <x:v>24811.405162885745</x:v>
      </x:c>
      <x:c r="P17" s="66" t="n">
        <x:f>IF('Assumptions'!$D$7&lt;&gt;"Ready","Not supplied",P15*'Assumptions'!$D$19)</x:f>
        <x:v>25262.37705962803</x:v>
      </x:c>
      <x:c r="Q17" s="66" t="n">
        <x:f>IF('Assumptions'!$D$7&lt;&gt;"Ready","Not supplied",Q15*'Assumptions'!$D$19)</x:f>
        <x:v>25704.329518435472</x:v>
      </x:c>
      <x:c r="R17" s="66" t="n">
        <x:f>IF('Assumptions'!$D$7&lt;&gt;"Ready","Not supplied",R15*'Assumptions'!$D$19)</x:f>
        <x:v>26137.442928066757</x:v>
      </x:c>
      <x:c r="S17" s="66" t="n">
        <x:f>IF('Assumptions'!$D$7&lt;&gt;"Ready","Not supplied",S15*'Assumptions'!$D$19)</x:f>
        <x:v>26561.894069505426</x:v>
      </x:c>
      <x:c r="T17" s="66" t="n">
        <x:f>IF('Assumptions'!$D$7&lt;&gt;"Ready","Not supplied",T15*'Assumptions'!$D$19)</x:f>
        <x:v>26977.856188115315</x:v>
      </x:c>
      <x:c r="U17" s="66" t="n">
        <x:f>IF('Assumptions'!$D$7&lt;&gt;"Ready","Not supplied",U15*'Assumptions'!$D$19)</x:f>
        <x:v>27385.499064353007</x:v>
      </x:c>
      <x:c r="V17" s="66" t="n">
        <x:f>IF('Assumptions'!$D$7&lt;&gt;"Ready","Not supplied",V15*'Assumptions'!$D$19)</x:f>
        <x:v>27784.98908306595</x:v>
      </x:c>
      <x:c r="W17" s="66" t="n">
        <x:f>IF('Assumptions'!$D$7&lt;&gt;"Ready","Not supplied",W15*'Assumptions'!$D$19)</x:f>
        <x:v>28176.489301404625</x:v>
      </x:c>
      <x:c r="X17" s="66" t="n">
        <x:f>IF('Assumptions'!$D$7&lt;&gt;"Ready","Not supplied",X15*'Assumptions'!$D$19)</x:f>
        <x:v>28560.159515376537</x:v>
      </x:c>
      <x:c r="Y17" s="66" t="n">
        <x:f>IF('Assumptions'!$D$7&lt;&gt;"Ready","Not supplied",Y15*'Assumptions'!$D$19)</x:f>
        <x:v>28936.156325069005</x:v>
      </x:c>
      <x:c r="Z17" s="66" t="n">
        <x:f>IF('Assumptions'!$D$7&lt;&gt;"Ready","Not supplied",Z15*'Assumptions'!$D$19)</x:f>
        <x:v>29304.633198567626</x:v>
      </x:c>
      <x:c r="AA17" s="66" t="n">
        <x:f>IF('Assumptions'!$D$7&lt;&gt;"Ready","Not supplied",AA15*'Assumptions'!$D$19)</x:f>
        <x:v>29665.74053459627</x:v>
      </x:c>
    </x:row>
    <x:row r="18" ht="21" customHeight="1">
      <x:c r="A18" s="50"/>
      <x:c r="B18" s="50"/>
      <x:c r="C18" s="50" t="str">
        <x:v>Refunds</x:v>
      </x:c>
      <x:c r="D18" s="66" t="n">
        <x:f>IF('Assumptions'!$D$7&lt;&gt;"Ready","Not supplied",D17*'Assumptions'!$D$20)</x:f>
        <x:v>768</x:v>
      </x:c>
      <x:c r="E18" s="66" t="n">
        <x:f>IF('Assumptions'!$D$7&lt;&gt;"Ready","Not supplied",E17*'Assumptions'!$D$20)</x:f>
        <x:v>790.528</x:v>
      </x:c>
      <x:c r="F18" s="66" t="n">
        <x:f>IF('Assumptions'!$D$7&lt;&gt;"Ready","Not supplied",F17*'Assumptions'!$D$20)</x:f>
        <x:v>812.6054399999999</x:v>
      </x:c>
      <x:c r="G18" s="66" t="n">
        <x:f>IF('Assumptions'!$D$7&lt;&gt;"Ready","Not supplied",G17*'Assumptions'!$D$20)</x:f>
        <x:v>834.2413312000001</x:v>
      </x:c>
      <x:c r="H18" s="66" t="n">
        <x:f>IF('Assumptions'!$D$7&lt;&gt;"Ready","Not supplied",H17*'Assumptions'!$D$20)</x:f>
        <x:v>855.4445045760001</x:v>
      </x:c>
      <x:c r="I18" s="66" t="n">
        <x:f>IF('Assumptions'!$D$7&lt;&gt;"Ready","Not supplied",I17*'Assumptions'!$D$20)</x:f>
        <x:v>876.22361448448</x:v>
      </x:c>
      <x:c r="J18" s="66" t="n">
        <x:f>IF('Assumptions'!$D$7&lt;&gt;"Ready","Not supplied",J17*'Assumptions'!$D$20)</x:f>
        <x:v>896.5871421947904</x:v>
      </x:c>
      <x:c r="K18" s="66" t="n">
        <x:f>IF('Assumptions'!$D$7&lt;&gt;"Ready","Not supplied",K17*'Assumptions'!$D$20)</x:f>
        <x:v>916.5433993508944</x:v>
      </x:c>
      <x:c r="L18" s="66" t="n">
        <x:f>IF('Assumptions'!$D$7&lt;&gt;"Ready","Not supplied",L17*'Assumptions'!$D$20)</x:f>
        <x:v>936.1005313638767</x:v>
      </x:c>
      <x:c r="M18" s="66" t="n">
        <x:f>IF('Assumptions'!$D$7&lt;&gt;"Ready","Not supplied",M17*'Assumptions'!$D$20)</x:f>
        <x:v>955.2665207365992</x:v>
      </x:c>
      <x:c r="N18" s="66" t="n">
        <x:f>IF('Assumptions'!$D$7&lt;&gt;"Ready","Not supplied",N17*'Assumptions'!$D$20)</x:f>
        <x:v>974.0491903218672</x:v>
      </x:c>
      <x:c r="O18" s="66" t="n">
        <x:f>IF('Assumptions'!$D$7&lt;&gt;"Ready","Not supplied",O17*'Assumptions'!$D$20)</x:f>
        <x:v>992.4562065154298</x:v>
      </x:c>
      <x:c r="P18" s="66" t="n">
        <x:f>IF('Assumptions'!$D$7&lt;&gt;"Ready","Not supplied",P17*'Assumptions'!$D$20)</x:f>
        <x:v>1010.4950823851212</x:v>
      </x:c>
      <x:c r="Q18" s="66" t="n">
        <x:f>IF('Assumptions'!$D$7&lt;&gt;"Ready","Not supplied",Q17*'Assumptions'!$D$20)</x:f>
        <x:v>1028.173180737419</x:v>
      </x:c>
      <x:c r="R18" s="66" t="n">
        <x:f>IF('Assumptions'!$D$7&lt;&gt;"Ready","Not supplied",R17*'Assumptions'!$D$20)</x:f>
        <x:v>1045.4977171226703</x:v>
      </x:c>
      <x:c r="S18" s="66" t="n">
        <x:f>IF('Assumptions'!$D$7&lt;&gt;"Ready","Not supplied",S17*'Assumptions'!$D$20)</x:f>
        <x:v>1062.475762780217</x:v>
      </x:c>
      <x:c r="T18" s="66" t="n">
        <x:f>IF('Assumptions'!$D$7&lt;&gt;"Ready","Not supplied",T17*'Assumptions'!$D$20)</x:f>
        <x:v>1079.1142475246127</x:v>
      </x:c>
      <x:c r="U18" s="66" t="n">
        <x:f>IF('Assumptions'!$D$7&lt;&gt;"Ready","Not supplied",U17*'Assumptions'!$D$20)</x:f>
        <x:v>1095.4199625741203</x:v>
      </x:c>
      <x:c r="V18" s="66" t="n">
        <x:f>IF('Assumptions'!$D$7&lt;&gt;"Ready","Not supplied",V17*'Assumptions'!$D$20)</x:f>
        <x:v>1111.399563322638</x:v>
      </x:c>
      <x:c r="W18" s="66" t="n">
        <x:f>IF('Assumptions'!$D$7&lt;&gt;"Ready","Not supplied",W17*'Assumptions'!$D$20)</x:f>
        <x:v>1127.059572056185</x:v>
      </x:c>
      <x:c r="X18" s="66" t="n">
        <x:f>IF('Assumptions'!$D$7&lt;&gt;"Ready","Not supplied",X17*'Assumptions'!$D$20)</x:f>
        <x:v>1142.4063806150616</x:v>
      </x:c>
      <x:c r="Y18" s="66" t="n">
        <x:f>IF('Assumptions'!$D$7&lt;&gt;"Ready","Not supplied",Y17*'Assumptions'!$D$20)</x:f>
        <x:v>1157.4462530027602</x:v>
      </x:c>
      <x:c r="Z18" s="66" t="n">
        <x:f>IF('Assumptions'!$D$7&lt;&gt;"Ready","Not supplied",Z17*'Assumptions'!$D$20)</x:f>
        <x:v>1172.185327942705</x:v>
      </x:c>
      <x:c r="AA18" s="66" t="n">
        <x:f>IF('Assumptions'!$D$7&lt;&gt;"Ready","Not supplied",AA17*'Assumptions'!$D$20)</x:f>
        <x:v>1186.6296213838507</x:v>
      </x:c>
    </x:row>
    <x:row r="19" ht="21" customHeight="1">
      <x:c r="A19" s="50"/>
      <x:c r="B19" s="50"/>
      <x:c r="C19" s="50" t="str">
        <x:v>D2C net sales</x:v>
      </x:c>
      <x:c r="D19" s="66" t="n">
        <x:f>IF('Assumptions'!$D$7&lt;&gt;"Ready","Not supplied",D17-D18)</x:f>
        <x:v>18432</x:v>
      </x:c>
      <x:c r="E19" s="66" t="n">
        <x:f>IF('Assumptions'!$D$7&lt;&gt;"Ready","Not supplied",E17-E18)</x:f>
        <x:v>18972.672000000002</x:v>
      </x:c>
      <x:c r="F19" s="66" t="n">
        <x:f>IF('Assumptions'!$D$7&lt;&gt;"Ready","Not supplied",F17-F18)</x:f>
        <x:v>19502.53056</x:v>
      </x:c>
      <x:c r="G19" s="66" t="n">
        <x:f>IF('Assumptions'!$D$7&lt;&gt;"Ready","Not supplied",G17-G18)</x:f>
        <x:v>20021.791948800004</x:v>
      </x:c>
      <x:c r="H19" s="66" t="n">
        <x:f>IF('Assumptions'!$D$7&lt;&gt;"Ready","Not supplied",H17-H18)</x:f>
        <x:v>20530.668109824</x:v>
      </x:c>
      <x:c r="I19" s="66" t="n">
        <x:f>IF('Assumptions'!$D$7&lt;&gt;"Ready","Not supplied",I17-I18)</x:f>
        <x:v>21029.36674762752</x:v>
      </x:c>
      <x:c r="J19" s="66" t="n">
        <x:f>IF('Assumptions'!$D$7&lt;&gt;"Ready","Not supplied",J17-J18)</x:f>
        <x:v>21518.09141267497</x:v>
      </x:c>
      <x:c r="K19" s="66" t="n">
        <x:f>IF('Assumptions'!$D$7&lt;&gt;"Ready","Not supplied",K17-K18)</x:f>
        <x:v>21997.041584421466</x:v>
      </x:c>
      <x:c r="L19" s="66" t="n">
        <x:f>IF('Assumptions'!$D$7&lt;&gt;"Ready","Not supplied",L17-L18)</x:f>
        <x:v>22466.41275273304</x:v>
      </x:c>
      <x:c r="M19" s="66" t="n">
        <x:f>IF('Assumptions'!$D$7&lt;&gt;"Ready","Not supplied",M17-M18)</x:f>
        <x:v>22926.39649767838</x:v>
      </x:c>
      <x:c r="N19" s="66" t="n">
        <x:f>IF('Assumptions'!$D$7&lt;&gt;"Ready","Not supplied",N17-N18)</x:f>
        <x:v>23377.180567724812</x:v>
      </x:c>
      <x:c r="O19" s="66" t="n">
        <x:f>IF('Assumptions'!$D$7&lt;&gt;"Ready","Not supplied",O17-O18)</x:f>
        <x:v>23818.948956370314</x:v>
      </x:c>
      <x:c r="P19" s="66" t="n">
        <x:f>IF('Assumptions'!$D$7&lt;&gt;"Ready","Not supplied",P17-P18)</x:f>
        <x:v>24251.88197724291</x:v>
      </x:c>
      <x:c r="Q19" s="66" t="n">
        <x:f>IF('Assumptions'!$D$7&lt;&gt;"Ready","Not supplied",Q17-Q18)</x:f>
        <x:v>24676.156337698052</x:v>
      </x:c>
      <x:c r="R19" s="66" t="n">
        <x:f>IF('Assumptions'!$D$7&lt;&gt;"Ready","Not supplied",R17-R18)</x:f>
        <x:v>25091.945210944086</x:v>
      </x:c>
      <x:c r="S19" s="66" t="n">
        <x:f>IF('Assumptions'!$D$7&lt;&gt;"Ready","Not supplied",S17-S18)</x:f>
        <x:v>25499.41830672521</x:v>
      </x:c>
      <x:c r="T19" s="66" t="n">
        <x:f>IF('Assumptions'!$D$7&lt;&gt;"Ready","Not supplied",T17-T18)</x:f>
        <x:v>25898.741940590702</x:v>
      </x:c>
      <x:c r="U19" s="66" t="n">
        <x:f>IF('Assumptions'!$D$7&lt;&gt;"Ready","Not supplied",U17-U18)</x:f>
        <x:v>26290.079101778887</x:v>
      </x:c>
      <x:c r="V19" s="66" t="n">
        <x:f>IF('Assumptions'!$D$7&lt;&gt;"Ready","Not supplied",V17-V18)</x:f>
        <x:v>26673.589519743313</x:v>
      </x:c>
      <x:c r="W19" s="66" t="n">
        <x:f>IF('Assumptions'!$D$7&lt;&gt;"Ready","Not supplied",W17-W18)</x:f>
        <x:v>27049.42972934844</x:v>
      </x:c>
      <x:c r="X19" s="66" t="n">
        <x:f>IF('Assumptions'!$D$7&lt;&gt;"Ready","Not supplied",X17-X18)</x:f>
        <x:v>27417.753134761475</x:v>
      </x:c>
      <x:c r="Y19" s="66" t="n">
        <x:f>IF('Assumptions'!$D$7&lt;&gt;"Ready","Not supplied",Y17-Y18)</x:f>
        <x:v>27778.710072066246</x:v>
      </x:c>
      <x:c r="Z19" s="66" t="n">
        <x:f>IF('Assumptions'!$D$7&lt;&gt;"Ready","Not supplied",Z17-Z18)</x:f>
        <x:v>28132.44787062492</x:v>
      </x:c>
      <x:c r="AA19" s="66" t="n">
        <x:f>IF('Assumptions'!$D$7&lt;&gt;"Ready","Not supplied",AA17-AA18)</x:f>
        <x:v>28479.11091321242</x:v>
      </x:c>
    </x:row>
    <x:row r="20" ht="21" customHeight="1">
      <x:c r="A20" s="50"/>
      <x:c r="B20" s="50"/>
      <x:c r="C20" s="50" t="str">
        <x:v>B2B net sales</x:v>
      </x:c>
      <x:c r="D20" s="66" t="n">
        <x:f>IF('Assumptions'!$D$7&lt;&gt;"Ready","Not supplied",'Assumptions'!$D$27)</x:f>
        <x:v>5000</x:v>
      </x:c>
      <x:c r="E20" s="66" t="n">
        <x:f>IF('Assumptions'!$D$7&lt;&gt;"Ready","Not supplied",'Assumptions'!$D$27)</x:f>
        <x:v>5000</x:v>
      </x:c>
      <x:c r="F20" s="66" t="n">
        <x:f>IF('Assumptions'!$D$7&lt;&gt;"Ready","Not supplied",'Assumptions'!$D$27)</x:f>
        <x:v>5000</x:v>
      </x:c>
      <x:c r="G20" s="66" t="n">
        <x:f>IF('Assumptions'!$D$7&lt;&gt;"Ready","Not supplied",'Assumptions'!$D$27)</x:f>
        <x:v>5000</x:v>
      </x:c>
      <x:c r="H20" s="66" t="n">
        <x:f>IF('Assumptions'!$D$7&lt;&gt;"Ready","Not supplied",'Assumptions'!$D$27)</x:f>
        <x:v>5000</x:v>
      </x:c>
      <x:c r="I20" s="66" t="n">
        <x:f>IF('Assumptions'!$D$7&lt;&gt;"Ready","Not supplied",'Assumptions'!$D$27)</x:f>
        <x:v>5000</x:v>
      </x:c>
      <x:c r="J20" s="66" t="n">
        <x:f>IF('Assumptions'!$D$7&lt;&gt;"Ready","Not supplied",'Assumptions'!$D$27)</x:f>
        <x:v>5000</x:v>
      </x:c>
      <x:c r="K20" s="66" t="n">
        <x:f>IF('Assumptions'!$D$7&lt;&gt;"Ready","Not supplied",'Assumptions'!$D$27)</x:f>
        <x:v>5000</x:v>
      </x:c>
      <x:c r="L20" s="66" t="n">
        <x:f>IF('Assumptions'!$D$7&lt;&gt;"Ready","Not supplied",'Assumptions'!$D$27)</x:f>
        <x:v>5000</x:v>
      </x:c>
      <x:c r="M20" s="66" t="n">
        <x:f>IF('Assumptions'!$D$7&lt;&gt;"Ready","Not supplied",'Assumptions'!$D$27)</x:f>
        <x:v>5000</x:v>
      </x:c>
      <x:c r="N20" s="66" t="n">
        <x:f>IF('Assumptions'!$D$7&lt;&gt;"Ready","Not supplied",'Assumptions'!$D$27)</x:f>
        <x:v>5000</x:v>
      </x:c>
      <x:c r="O20" s="66" t="n">
        <x:f>IF('Assumptions'!$D$7&lt;&gt;"Ready","Not supplied",'Assumptions'!$D$27)</x:f>
        <x:v>5000</x:v>
      </x:c>
      <x:c r="P20" s="66" t="n">
        <x:f>IF('Assumptions'!$D$7&lt;&gt;"Ready","Not supplied",'Assumptions'!$D$27)</x:f>
        <x:v>5000</x:v>
      </x:c>
      <x:c r="Q20" s="66" t="n">
        <x:f>IF('Assumptions'!$D$7&lt;&gt;"Ready","Not supplied",'Assumptions'!$D$27)</x:f>
        <x:v>5000</x:v>
      </x:c>
      <x:c r="R20" s="66" t="n">
        <x:f>IF('Assumptions'!$D$7&lt;&gt;"Ready","Not supplied",'Assumptions'!$D$27)</x:f>
        <x:v>5000</x:v>
      </x:c>
      <x:c r="S20" s="66" t="n">
        <x:f>IF('Assumptions'!$D$7&lt;&gt;"Ready","Not supplied",'Assumptions'!$D$27)</x:f>
        <x:v>5000</x:v>
      </x:c>
      <x:c r="T20" s="66" t="n">
        <x:f>IF('Assumptions'!$D$7&lt;&gt;"Ready","Not supplied",'Assumptions'!$D$27)</x:f>
        <x:v>5000</x:v>
      </x:c>
      <x:c r="U20" s="66" t="n">
        <x:f>IF('Assumptions'!$D$7&lt;&gt;"Ready","Not supplied",'Assumptions'!$D$27)</x:f>
        <x:v>5000</x:v>
      </x:c>
      <x:c r="V20" s="66" t="n">
        <x:f>IF('Assumptions'!$D$7&lt;&gt;"Ready","Not supplied",'Assumptions'!$D$27)</x:f>
        <x:v>5000</x:v>
      </x:c>
      <x:c r="W20" s="66" t="n">
        <x:f>IF('Assumptions'!$D$7&lt;&gt;"Ready","Not supplied",'Assumptions'!$D$27)</x:f>
        <x:v>5000</x:v>
      </x:c>
      <x:c r="X20" s="66" t="n">
        <x:f>IF('Assumptions'!$D$7&lt;&gt;"Ready","Not supplied",'Assumptions'!$D$27)</x:f>
        <x:v>5000</x:v>
      </x:c>
      <x:c r="Y20" s="66" t="n">
        <x:f>IF('Assumptions'!$D$7&lt;&gt;"Ready","Not supplied",'Assumptions'!$D$27)</x:f>
        <x:v>5000</x:v>
      </x:c>
      <x:c r="Z20" s="66" t="n">
        <x:f>IF('Assumptions'!$D$7&lt;&gt;"Ready","Not supplied",'Assumptions'!$D$27)</x:f>
        <x:v>5000</x:v>
      </x:c>
      <x:c r="AA20" s="66" t="n">
        <x:f>IF('Assumptions'!$D$7&lt;&gt;"Ready","Not supplied",'Assumptions'!$D$27)</x:f>
        <x:v>5000</x:v>
      </x:c>
    </x:row>
    <x:row r="21" ht="21" customHeight="1">
      <x:c r="A21" s="50"/>
      <x:c r="B21" s="50"/>
      <x:c r="C21" s="56" t="str">
        <x:v>Total net sales</x:v>
      </x:c>
      <x:c r="D21" s="78" t="n">
        <x:f>IF('Assumptions'!$D$7&lt;&gt;"Ready","Not supplied",SUM(D19:D20))</x:f>
        <x:v>23432</x:v>
      </x:c>
      <x:c r="E21" s="78" t="n">
        <x:f>IF('Assumptions'!$D$7&lt;&gt;"Ready","Not supplied",SUM(E19:E20))</x:f>
        <x:v>23972.672000000002</x:v>
      </x:c>
      <x:c r="F21" s="78" t="n">
        <x:f>IF('Assumptions'!$D$7&lt;&gt;"Ready","Not supplied",SUM(F19:F20))</x:f>
        <x:v>24502.53056</x:v>
      </x:c>
      <x:c r="G21" s="78" t="n">
        <x:f>IF('Assumptions'!$D$7&lt;&gt;"Ready","Not supplied",SUM(G19:G20))</x:f>
        <x:v>25021.791948800004</x:v>
      </x:c>
      <x:c r="H21" s="78" t="n">
        <x:f>IF('Assumptions'!$D$7&lt;&gt;"Ready","Not supplied",SUM(H19:H20))</x:f>
        <x:v>25530.668109824</x:v>
      </x:c>
      <x:c r="I21" s="78" t="n">
        <x:f>IF('Assumptions'!$D$7&lt;&gt;"Ready","Not supplied",SUM(I19:I20))</x:f>
        <x:v>26029.36674762752</x:v>
      </x:c>
      <x:c r="J21" s="78" t="n">
        <x:f>IF('Assumptions'!$D$7&lt;&gt;"Ready","Not supplied",SUM(J19:J20))</x:f>
        <x:v>26518.09141267497</x:v>
      </x:c>
      <x:c r="K21" s="78" t="n">
        <x:f>IF('Assumptions'!$D$7&lt;&gt;"Ready","Not supplied",SUM(K19:K20))</x:f>
        <x:v>26997.041584421466</x:v>
      </x:c>
      <x:c r="L21" s="78" t="n">
        <x:f>IF('Assumptions'!$D$7&lt;&gt;"Ready","Not supplied",SUM(L19:L20))</x:f>
        <x:v>27466.41275273304</x:v>
      </x:c>
      <x:c r="M21" s="78" t="n">
        <x:f>IF('Assumptions'!$D$7&lt;&gt;"Ready","Not supplied",SUM(M19:M20))</x:f>
        <x:v>27926.39649767838</x:v>
      </x:c>
      <x:c r="N21" s="78" t="n">
        <x:f>IF('Assumptions'!$D$7&lt;&gt;"Ready","Not supplied",SUM(N19:N20))</x:f>
        <x:v>28377.180567724812</x:v>
      </x:c>
      <x:c r="O21" s="78" t="n">
        <x:f>IF('Assumptions'!$D$7&lt;&gt;"Ready","Not supplied",SUM(O19:O20))</x:f>
        <x:v>28818.948956370314</x:v>
      </x:c>
      <x:c r="P21" s="78" t="n">
        <x:f>IF('Assumptions'!$D$7&lt;&gt;"Ready","Not supplied",SUM(P19:P20))</x:f>
        <x:v>29251.88197724291</x:v>
      </x:c>
      <x:c r="Q21" s="78" t="n">
        <x:f>IF('Assumptions'!$D$7&lt;&gt;"Ready","Not supplied",SUM(Q19:Q20))</x:f>
        <x:v>29676.156337698052</x:v>
      </x:c>
      <x:c r="R21" s="78" t="n">
        <x:f>IF('Assumptions'!$D$7&lt;&gt;"Ready","Not supplied",SUM(R19:R20))</x:f>
        <x:v>30091.945210944086</x:v>
      </x:c>
      <x:c r="S21" s="78" t="n">
        <x:f>IF('Assumptions'!$D$7&lt;&gt;"Ready","Not supplied",SUM(S19:S20))</x:f>
        <x:v>30499.41830672521</x:v>
      </x:c>
      <x:c r="T21" s="78" t="n">
        <x:f>IF('Assumptions'!$D$7&lt;&gt;"Ready","Not supplied",SUM(T19:T20))</x:f>
        <x:v>30898.741940590702</x:v>
      </x:c>
      <x:c r="U21" s="78" t="n">
        <x:f>IF('Assumptions'!$D$7&lt;&gt;"Ready","Not supplied",SUM(U19:U20))</x:f>
        <x:v>31290.079101778887</x:v>
      </x:c>
      <x:c r="V21" s="78" t="n">
        <x:f>IF('Assumptions'!$D$7&lt;&gt;"Ready","Not supplied",SUM(V19:V20))</x:f>
        <x:v>31673.589519743313</x:v>
      </x:c>
      <x:c r="W21" s="78" t="n">
        <x:f>IF('Assumptions'!$D$7&lt;&gt;"Ready","Not supplied",SUM(W19:W20))</x:f>
        <x:v>32049.42972934844</x:v>
      </x:c>
      <x:c r="X21" s="78" t="n">
        <x:f>IF('Assumptions'!$D$7&lt;&gt;"Ready","Not supplied",SUM(X19:X20))</x:f>
        <x:v>32417.753134761475</x:v>
      </x:c>
      <x:c r="Y21" s="78" t="n">
        <x:f>IF('Assumptions'!$D$7&lt;&gt;"Ready","Not supplied",SUM(Y19:Y20))</x:f>
        <x:v>32778.71007206624</x:v>
      </x:c>
      <x:c r="Z21" s="78" t="n">
        <x:f>IF('Assumptions'!$D$7&lt;&gt;"Ready","Not supplied",SUM(Z19:Z20))</x:f>
        <x:v>33132.44787062492</x:v>
      </x:c>
      <x:c r="AA21" s="78" t="n">
        <x:f>IF('Assumptions'!$D$7&lt;&gt;"Ready","Not supplied",SUM(AA19:AA20))</x:f>
        <x:v>33479.11091321242</x:v>
      </x:c>
    </x:row>
    <x:row r="22" ht="21" customHeight="1">
      <x:c r="A22" s="50"/>
      <x:c r="B22" s="50"/>
      <x:c r="C22" s="50" t="str">
        <x:v>Product costs</x:v>
      </x:c>
      <x:c r="D22" s="66" t="n">
        <x:f>IF('Assumptions'!$D$7&lt;&gt;"Ready","Not supplied",D17*'Assumptions'!$D$21)</x:f>
        <x:v>5760</x:v>
      </x:c>
      <x:c r="E22" s="66" t="n">
        <x:f>IF('Assumptions'!$D$7&lt;&gt;"Ready","Not supplied",E17*'Assumptions'!$D$21)</x:f>
        <x:v>5928.96</x:v>
      </x:c>
      <x:c r="F22" s="66" t="n">
        <x:f>IF('Assumptions'!$D$7&lt;&gt;"Ready","Not supplied",F17*'Assumptions'!$D$21)</x:f>
        <x:v>6094.5408</x:v>
      </x:c>
      <x:c r="G22" s="66" t="n">
        <x:f>IF('Assumptions'!$D$7&lt;&gt;"Ready","Not supplied",G17*'Assumptions'!$D$21)</x:f>
        <x:v>6256.809984</x:v>
      </x:c>
      <x:c r="H22" s="66" t="n">
        <x:f>IF('Assumptions'!$D$7&lt;&gt;"Ready","Not supplied",H17*'Assumptions'!$D$21)</x:f>
        <x:v>6415.83378432</x:v>
      </x:c>
      <x:c r="I22" s="66" t="n">
        <x:f>IF('Assumptions'!$D$7&lt;&gt;"Ready","Not supplied",I17*'Assumptions'!$D$21)</x:f>
        <x:v>6571.677108633599</x:v>
      </x:c>
      <x:c r="J22" s="66" t="n">
        <x:f>IF('Assumptions'!$D$7&lt;&gt;"Ready","Not supplied",J17*'Assumptions'!$D$21)</x:f>
        <x:v>6724.403566460927</x:v>
      </x:c>
      <x:c r="K22" s="66" t="n">
        <x:f>IF('Assumptions'!$D$7&lt;&gt;"Ready","Not supplied",K17*'Assumptions'!$D$21)</x:f>
        <x:v>6874.0754951317085</x:v>
      </x:c>
      <x:c r="L22" s="66" t="n">
        <x:f>IF('Assumptions'!$D$7&lt;&gt;"Ready","Not supplied",L17*'Assumptions'!$D$21)</x:f>
        <x:v>7020.753985229075</x:v>
      </x:c>
      <x:c r="M22" s="66" t="n">
        <x:f>IF('Assumptions'!$D$7&lt;&gt;"Ready","Not supplied",M17*'Assumptions'!$D$21)</x:f>
        <x:v>7164.498905524494</x:v>
      </x:c>
      <x:c r="N22" s="66" t="n">
        <x:f>IF('Assumptions'!$D$7&lt;&gt;"Ready","Not supplied",N17*'Assumptions'!$D$21)</x:f>
        <x:v>7305.368927414004</x:v>
      </x:c>
      <x:c r="O22" s="66" t="n">
        <x:f>IF('Assumptions'!$D$7&lt;&gt;"Ready","Not supplied",O17*'Assumptions'!$D$21)</x:f>
        <x:v>7443.421548865723</x:v>
      </x:c>
      <x:c r="P22" s="66" t="n">
        <x:f>IF('Assumptions'!$D$7&lt;&gt;"Ready","Not supplied",P17*'Assumptions'!$D$21)</x:f>
        <x:v>7578.713117888408</x:v>
      </x:c>
      <x:c r="Q22" s="66" t="n">
        <x:f>IF('Assumptions'!$D$7&lt;&gt;"Ready","Not supplied",Q17*'Assumptions'!$D$21)</x:f>
        <x:v>7711.298855530641</x:v>
      </x:c>
      <x:c r="R22" s="66" t="n">
        <x:f>IF('Assumptions'!$D$7&lt;&gt;"Ready","Not supplied",R17*'Assumptions'!$D$21)</x:f>
        <x:v>7841.232878420027</x:v>
      </x:c>
      <x:c r="S22" s="66" t="n">
        <x:f>IF('Assumptions'!$D$7&lt;&gt;"Ready","Not supplied",S17*'Assumptions'!$D$21)</x:f>
        <x:v>7968.568220851627</x:v>
      </x:c>
      <x:c r="T22" s="66" t="n">
        <x:f>IF('Assumptions'!$D$7&lt;&gt;"Ready","Not supplied",T17*'Assumptions'!$D$21)</x:f>
        <x:v>8093.356856434594</x:v>
      </x:c>
      <x:c r="U22" s="66" t="n">
        <x:f>IF('Assumptions'!$D$7&lt;&gt;"Ready","Not supplied",U17*'Assumptions'!$D$21)</x:f>
        <x:v>8215.649719305902</x:v>
      </x:c>
      <x:c r="V22" s="66" t="n">
        <x:f>IF('Assumptions'!$D$7&lt;&gt;"Ready","Not supplied",V17*'Assumptions'!$D$21)</x:f>
        <x:v>8335.496724919785</x:v>
      </x:c>
      <x:c r="W22" s="66" t="n">
        <x:f>IF('Assumptions'!$D$7&lt;&gt;"Ready","Not supplied",W17*'Assumptions'!$D$21)</x:f>
        <x:v>8452.946790421387</x:v>
      </x:c>
      <x:c r="X22" s="66" t="n">
        <x:f>IF('Assumptions'!$D$7&lt;&gt;"Ready","Not supplied",X17*'Assumptions'!$D$21)</x:f>
        <x:v>8568.047854612962</x:v>
      </x:c>
      <x:c r="Y22" s="66" t="n">
        <x:f>IF('Assumptions'!$D$7&lt;&gt;"Ready","Not supplied",Y17*'Assumptions'!$D$21)</x:f>
        <x:v>8680.846897520702</x:v>
      </x:c>
      <x:c r="Z22" s="66" t="n">
        <x:f>IF('Assumptions'!$D$7&lt;&gt;"Ready","Not supplied",Z17*'Assumptions'!$D$21)</x:f>
        <x:v>8791.389959570288</x:v>
      </x:c>
      <x:c r="AA22" s="66" t="n">
        <x:f>IF('Assumptions'!$D$7&lt;&gt;"Ready","Not supplied",AA17*'Assumptions'!$D$21)</x:f>
        <x:v>8899.72216037888</x:v>
      </x:c>
    </x:row>
    <x:row r="23" ht="21" customHeight="1">
      <x:c r="A23" s="50"/>
      <x:c r="B23" s="50"/>
      <x:c r="C23" s="50" t="str">
        <x:v>Fulfilment</x:v>
      </x:c>
      <x:c r="D23" s="66" t="n">
        <x:f>IF('Assumptions'!$D$7&lt;&gt;"Ready","Not supplied",D15*'Assumptions'!$D$22)</x:f>
        <x:v>1200</x:v>
      </x:c>
      <x:c r="E23" s="66" t="n">
        <x:f>IF('Assumptions'!$D$7&lt;&gt;"Ready","Not supplied",E15*'Assumptions'!$D$22)</x:f>
        <x:v>1235.2</x:v>
      </x:c>
      <x:c r="F23" s="66" t="n">
        <x:f>IF('Assumptions'!$D$7&lt;&gt;"Ready","Not supplied",F15*'Assumptions'!$D$22)</x:f>
        <x:v>1269.696</x:v>
      </x:c>
      <x:c r="G23" s="66" t="n">
        <x:f>IF('Assumptions'!$D$7&lt;&gt;"Ready","Not supplied",G15*'Assumptions'!$D$22)</x:f>
        <x:v>1303.5020800000002</x:v>
      </x:c>
      <x:c r="H23" s="66" t="n">
        <x:f>IF('Assumptions'!$D$7&lt;&gt;"Ready","Not supplied",H15*'Assumptions'!$D$22)</x:f>
        <x:v>1336.6320384</x:v>
      </x:c>
      <x:c r="I23" s="66" t="n">
        <x:f>IF('Assumptions'!$D$7&lt;&gt;"Ready","Not supplied",I15*'Assumptions'!$D$22)</x:f>
        <x:v>1369.0993976319999</x:v>
      </x:c>
      <x:c r="J23" s="66" t="n">
        <x:f>IF('Assumptions'!$D$7&lt;&gt;"Ready","Not supplied",J15*'Assumptions'!$D$22)</x:f>
        <x:v>1400.91740967936</x:v>
      </x:c>
      <x:c r="K23" s="66" t="n">
        <x:f>IF('Assumptions'!$D$7&lt;&gt;"Ready","Not supplied",K15*'Assumptions'!$D$22)</x:f>
        <x:v>1432.0990614857726</x:v>
      </x:c>
      <x:c r="L23" s="66" t="n">
        <x:f>IF('Assumptions'!$D$7&lt;&gt;"Ready","Not supplied",L15*'Assumptions'!$D$22)</x:f>
        <x:v>1462.6570802560573</x:v>
      </x:c>
      <x:c r="M23" s="66" t="n">
        <x:f>IF('Assumptions'!$D$7&lt;&gt;"Ready","Not supplied",M15*'Assumptions'!$D$22)</x:f>
        <x:v>1492.6039386509362</x:v>
      </x:c>
      <x:c r="N23" s="66" t="n">
        <x:f>IF('Assumptions'!$D$7&lt;&gt;"Ready","Not supplied",N15*'Assumptions'!$D$22)</x:f>
        <x:v>1521.9518598779175</x:v>
      </x:c>
      <x:c r="O23" s="66" t="n">
        <x:f>IF('Assumptions'!$D$7&lt;&gt;"Ready","Not supplied",O15*'Assumptions'!$D$22)</x:f>
        <x:v>1550.712822680359</x:v>
      </x:c>
      <x:c r="P23" s="66" t="n">
        <x:f>IF('Assumptions'!$D$7&lt;&gt;"Ready","Not supplied",P15*'Assumptions'!$D$22)</x:f>
        <x:v>1578.8985662267519</x:v>
      </x:c>
      <x:c r="Q23" s="66" t="n">
        <x:f>IF('Assumptions'!$D$7&lt;&gt;"Ready","Not supplied",Q15*'Assumptions'!$D$22)</x:f>
        <x:v>1606.520594902217</x:v>
      </x:c>
      <x:c r="R23" s="66" t="n">
        <x:f>IF('Assumptions'!$D$7&lt;&gt;"Ready","Not supplied",R15*'Assumptions'!$D$22)</x:f>
        <x:v>1633.5901830041723</x:v>
      </x:c>
      <x:c r="S23" s="66" t="n">
        <x:f>IF('Assumptions'!$D$7&lt;&gt;"Ready","Not supplied",S15*'Assumptions'!$D$22)</x:f>
        <x:v>1660.1183793440891</x:v>
      </x:c>
      <x:c r="T23" s="66" t="n">
        <x:f>IF('Assumptions'!$D$7&lt;&gt;"Ready","Not supplied",T15*'Assumptions'!$D$22)</x:f>
        <x:v>1686.1160117572072</x:v>
      </x:c>
      <x:c r="U23" s="66" t="n">
        <x:f>IF('Assumptions'!$D$7&lt;&gt;"Ready","Not supplied",U15*'Assumptions'!$D$22)</x:f>
        <x:v>1711.593691522063</x:v>
      </x:c>
      <x:c r="V23" s="66" t="n">
        <x:f>IF('Assumptions'!$D$7&lt;&gt;"Ready","Not supplied",V15*'Assumptions'!$D$22)</x:f>
        <x:v>1736.5618176916219</x:v>
      </x:c>
      <x:c r="W23" s="66" t="n">
        <x:f>IF('Assumptions'!$D$7&lt;&gt;"Ready","Not supplied",W15*'Assumptions'!$D$22)</x:f>
        <x:v>1761.030581337789</x:v>
      </x:c>
      <x:c r="X23" s="66" t="n">
        <x:f>IF('Assumptions'!$D$7&lt;&gt;"Ready","Not supplied",X15*'Assumptions'!$D$22)</x:f>
        <x:v>1785.0099697110336</x:v>
      </x:c>
      <x:c r="Y23" s="66" t="n">
        <x:f>IF('Assumptions'!$D$7&lt;&gt;"Ready","Not supplied",Y15*'Assumptions'!$D$22)</x:f>
        <x:v>1808.5097703168128</x:v>
      </x:c>
      <x:c r="Z23" s="66" t="n">
        <x:f>IF('Assumptions'!$D$7&lt;&gt;"Ready","Not supplied",Z15*'Assumptions'!$D$22)</x:f>
        <x:v>1831.5395749104766</x:v>
      </x:c>
      <x:c r="AA23" s="66" t="n">
        <x:f>IF('Assumptions'!$D$7&lt;&gt;"Ready","Not supplied",AA15*'Assumptions'!$D$22)</x:f>
        <x:v>1854.1087834122668</x:v>
      </x:c>
    </x:row>
    <x:row r="24" ht="21" customHeight="1">
      <x:c r="A24" s="50"/>
      <x:c r="B24" s="50"/>
      <x:c r="C24" s="50" t="str">
        <x:v>Payment / commission</x:v>
      </x:c>
      <x:c r="D24" s="66" t="n">
        <x:f>IF('Assumptions'!$D$7&lt;&gt;"Ready","Not supplied",D17*'Assumptions'!$D$23)</x:f>
        <x:v>576</x:v>
      </x:c>
      <x:c r="E24" s="66" t="n">
        <x:f>IF('Assumptions'!$D$7&lt;&gt;"Ready","Not supplied",E17*'Assumptions'!$D$23)</x:f>
        <x:v>592.896</x:v>
      </x:c>
      <x:c r="F24" s="66" t="n">
        <x:f>IF('Assumptions'!$D$7&lt;&gt;"Ready","Not supplied",F17*'Assumptions'!$D$23)</x:f>
        <x:v>609.45408</x:v>
      </x:c>
      <x:c r="G24" s="66" t="n">
        <x:f>IF('Assumptions'!$D$7&lt;&gt;"Ready","Not supplied",G17*'Assumptions'!$D$23)</x:f>
        <x:v>625.6809984</x:v>
      </x:c>
      <x:c r="H24" s="66" t="n">
        <x:f>IF('Assumptions'!$D$7&lt;&gt;"Ready","Not supplied",H17*'Assumptions'!$D$23)</x:f>
        <x:v>641.583378432</x:v>
      </x:c>
      <x:c r="I24" s="66" t="n">
        <x:f>IF('Assumptions'!$D$7&lt;&gt;"Ready","Not supplied",I17*'Assumptions'!$D$23)</x:f>
        <x:v>657.16771086336</x:v>
      </x:c>
      <x:c r="J24" s="66" t="n">
        <x:f>IF('Assumptions'!$D$7&lt;&gt;"Ready","Not supplied",J17*'Assumptions'!$D$23)</x:f>
        <x:v>672.4403566460927</x:v>
      </x:c>
      <x:c r="K24" s="66" t="n">
        <x:f>IF('Assumptions'!$D$7&lt;&gt;"Ready","Not supplied",K17*'Assumptions'!$D$23)</x:f>
        <x:v>687.4075495131708</x:v>
      </x:c>
      <x:c r="L24" s="66" t="n">
        <x:f>IF('Assumptions'!$D$7&lt;&gt;"Ready","Not supplied",L17*'Assumptions'!$D$23)</x:f>
        <x:v>702.0753985229074</x:v>
      </x:c>
      <x:c r="M24" s="66" t="n">
        <x:f>IF('Assumptions'!$D$7&lt;&gt;"Ready","Not supplied",M17*'Assumptions'!$D$23)</x:f>
        <x:v>716.4498905524493</x:v>
      </x:c>
      <x:c r="N24" s="66" t="n">
        <x:f>IF('Assumptions'!$D$7&lt;&gt;"Ready","Not supplied",N17*'Assumptions'!$D$23)</x:f>
        <x:v>730.5368927414004</x:v>
      </x:c>
      <x:c r="O24" s="66" t="n">
        <x:f>IF('Assumptions'!$D$7&lt;&gt;"Ready","Not supplied",O17*'Assumptions'!$D$23)</x:f>
        <x:v>744.3421548865723</x:v>
      </x:c>
      <x:c r="P24" s="66" t="n">
        <x:f>IF('Assumptions'!$D$7&lt;&gt;"Ready","Not supplied",P17*'Assumptions'!$D$23)</x:f>
        <x:v>757.8713117888409</x:v>
      </x:c>
      <x:c r="Q24" s="66" t="n">
        <x:f>IF('Assumptions'!$D$7&lt;&gt;"Ready","Not supplied",Q17*'Assumptions'!$D$23)</x:f>
        <x:v>771.1298855530641</x:v>
      </x:c>
      <x:c r="R24" s="66" t="n">
        <x:f>IF('Assumptions'!$D$7&lt;&gt;"Ready","Not supplied",R17*'Assumptions'!$D$23)</x:f>
        <x:v>784.1232878420027</x:v>
      </x:c>
      <x:c r="S24" s="66" t="n">
        <x:f>IF('Assumptions'!$D$7&lt;&gt;"Ready","Not supplied",S17*'Assumptions'!$D$23)</x:f>
        <x:v>796.8568220851628</x:v>
      </x:c>
      <x:c r="T24" s="66" t="n">
        <x:f>IF('Assumptions'!$D$7&lt;&gt;"Ready","Not supplied",T17*'Assumptions'!$D$23)</x:f>
        <x:v>809.3356856434594</x:v>
      </x:c>
      <x:c r="U24" s="66" t="n">
        <x:f>IF('Assumptions'!$D$7&lt;&gt;"Ready","Not supplied",U17*'Assumptions'!$D$23)</x:f>
        <x:v>821.5649719305902</x:v>
      </x:c>
      <x:c r="V24" s="66" t="n">
        <x:f>IF('Assumptions'!$D$7&lt;&gt;"Ready","Not supplied",V17*'Assumptions'!$D$23)</x:f>
        <x:v>833.5496724919784</x:v>
      </x:c>
      <x:c r="W24" s="66" t="n">
        <x:f>IF('Assumptions'!$D$7&lt;&gt;"Ready","Not supplied",W17*'Assumptions'!$D$23)</x:f>
        <x:v>845.2946790421387</x:v>
      </x:c>
      <x:c r="X24" s="66" t="n">
        <x:f>IF('Assumptions'!$D$7&lt;&gt;"Ready","Not supplied",X17*'Assumptions'!$D$23)</x:f>
        <x:v>856.8047854612961</x:v>
      </x:c>
      <x:c r="Y24" s="66" t="n">
        <x:f>IF('Assumptions'!$D$7&lt;&gt;"Ready","Not supplied",Y17*'Assumptions'!$D$23)</x:f>
        <x:v>868.0846897520702</x:v>
      </x:c>
      <x:c r="Z24" s="66" t="n">
        <x:f>IF('Assumptions'!$D$7&lt;&gt;"Ready","Not supplied",Z17*'Assumptions'!$D$23)</x:f>
        <x:v>879.1389959570288</x:v>
      </x:c>
      <x:c r="AA24" s="66" t="n">
        <x:f>IF('Assumptions'!$D$7&lt;&gt;"Ready","Not supplied",AA17*'Assumptions'!$D$23)</x:f>
        <x:v>889.9722160378881</x:v>
      </x:c>
    </x:row>
    <x:row r="25" ht="21" customHeight="1">
      <x:c r="A25" s="50"/>
      <x:c r="B25" s="50"/>
      <x:c r="C25" s="50" t="str">
        <x:v>Variable service</x:v>
      </x:c>
      <x:c r="D25" s="66" t="n">
        <x:f>IF('Assumptions'!$D$7&lt;&gt;"Ready","Not supplied",D15*'Assumptions'!$D$24)</x:f>
        <x:v>240</x:v>
      </x:c>
      <x:c r="E25" s="66" t="n">
        <x:f>IF('Assumptions'!$D$7&lt;&gt;"Ready","Not supplied",E15*'Assumptions'!$D$24)</x:f>
        <x:v>247.04</x:v>
      </x:c>
      <x:c r="F25" s="66" t="n">
        <x:f>IF('Assumptions'!$D$7&lt;&gt;"Ready","Not supplied",F15*'Assumptions'!$D$24)</x:f>
        <x:v>253.9392</x:v>
      </x:c>
      <x:c r="G25" s="66" t="n">
        <x:f>IF('Assumptions'!$D$7&lt;&gt;"Ready","Not supplied",G15*'Assumptions'!$D$24)</x:f>
        <x:v>260.700416</x:v>
      </x:c>
      <x:c r="H25" s="66" t="n">
        <x:f>IF('Assumptions'!$D$7&lt;&gt;"Ready","Not supplied",H15*'Assumptions'!$D$24)</x:f>
        <x:v>267.32640768</x:v>
      </x:c>
      <x:c r="I25" s="66" t="n">
        <x:f>IF('Assumptions'!$D$7&lt;&gt;"Ready","Not supplied",I15*'Assumptions'!$D$24)</x:f>
        <x:v>273.8198795264</x:v>
      </x:c>
      <x:c r="J25" s="66" t="n">
        <x:f>IF('Assumptions'!$D$7&lt;&gt;"Ready","Not supplied",J15*'Assumptions'!$D$24)</x:f>
        <x:v>280.183481935872</x:v>
      </x:c>
      <x:c r="K25" s="66" t="n">
        <x:f>IF('Assumptions'!$D$7&lt;&gt;"Ready","Not supplied",K15*'Assumptions'!$D$24)</x:f>
        <x:v>286.4198122971545</x:v>
      </x:c>
      <x:c r="L25" s="66" t="n">
        <x:f>IF('Assumptions'!$D$7&lt;&gt;"Ready","Not supplied",L15*'Assumptions'!$D$24)</x:f>
        <x:v>292.53141605121147</x:v>
      </x:c>
      <x:c r="M25" s="66" t="n">
        <x:f>IF('Assumptions'!$D$7&lt;&gt;"Ready","Not supplied",M15*'Assumptions'!$D$24)</x:f>
        <x:v>298.52078773018724</x:v>
      </x:c>
      <x:c r="N25" s="66" t="n">
        <x:f>IF('Assumptions'!$D$7&lt;&gt;"Ready","Not supplied",N15*'Assumptions'!$D$24)</x:f>
        <x:v>304.3903719755835</x:v>
      </x:c>
      <x:c r="O25" s="66" t="n">
        <x:f>IF('Assumptions'!$D$7&lt;&gt;"Ready","Not supplied",O15*'Assumptions'!$D$24)</x:f>
        <x:v>310.1425645360718</x:v>
      </x:c>
      <x:c r="P25" s="66" t="n">
        <x:f>IF('Assumptions'!$D$7&lt;&gt;"Ready","Not supplied",P15*'Assumptions'!$D$24)</x:f>
        <x:v>315.77971324535037</x:v>
      </x:c>
      <x:c r="Q25" s="66" t="n">
        <x:f>IF('Assumptions'!$D$7&lt;&gt;"Ready","Not supplied",Q15*'Assumptions'!$D$24)</x:f>
        <x:v>321.3041189804434</x:v>
      </x:c>
      <x:c r="R25" s="66" t="n">
        <x:f>IF('Assumptions'!$D$7&lt;&gt;"Ready","Not supplied",R15*'Assumptions'!$D$24)</x:f>
        <x:v>326.71803660083447</x:v>
      </x:c>
      <x:c r="S25" s="66" t="n">
        <x:f>IF('Assumptions'!$D$7&lt;&gt;"Ready","Not supplied",S15*'Assumptions'!$D$24)</x:f>
        <x:v>332.0236758688178</x:v>
      </x:c>
      <x:c r="T25" s="66" t="n">
        <x:f>IF('Assumptions'!$D$7&lt;&gt;"Ready","Not supplied",T15*'Assumptions'!$D$24)</x:f>
        <x:v>337.22320235144144</x:v>
      </x:c>
      <x:c r="U25" s="66" t="n">
        <x:f>IF('Assumptions'!$D$7&lt;&gt;"Ready","Not supplied",U15*'Assumptions'!$D$24)</x:f>
        <x:v>342.3187383044126</x:v>
      </x:c>
      <x:c r="V25" s="66" t="n">
        <x:f>IF('Assumptions'!$D$7&lt;&gt;"Ready","Not supplied",V15*'Assumptions'!$D$24)</x:f>
        <x:v>347.31236353832435</x:v>
      </x:c>
      <x:c r="W25" s="66" t="n">
        <x:f>IF('Assumptions'!$D$7&lt;&gt;"Ready","Not supplied",W15*'Assumptions'!$D$24)</x:f>
        <x:v>352.20611626755783</x:v>
      </x:c>
      <x:c r="X25" s="66" t="n">
        <x:f>IF('Assumptions'!$D$7&lt;&gt;"Ready","Not supplied",X15*'Assumptions'!$D$24)</x:f>
        <x:v>357.0019939422067</x:v>
      </x:c>
      <x:c r="Y25" s="66" t="n">
        <x:f>IF('Assumptions'!$D$7&lt;&gt;"Ready","Not supplied",Y15*'Assumptions'!$D$24)</x:f>
        <x:v>361.70195406336256</x:v>
      </x:c>
      <x:c r="Z25" s="66" t="n">
        <x:f>IF('Assumptions'!$D$7&lt;&gt;"Ready","Not supplied",Z15*'Assumptions'!$D$24)</x:f>
        <x:v>366.3079149820953</x:v>
      </x:c>
      <x:c r="AA25" s="66" t="n">
        <x:f>IF('Assumptions'!$D$7&lt;&gt;"Ready","Not supplied",AA15*'Assumptions'!$D$24)</x:f>
        <x:v>370.8217566824534</x:v>
      </x:c>
    </x:row>
    <x:row r="26" ht="21" customHeight="1">
      <x:c r="A26" s="50"/>
      <x:c r="B26" s="50"/>
      <x:c r="C26" s="50" t="str">
        <x:v>B2B variable costs</x:v>
      </x:c>
      <x:c r="D26" s="66" t="n">
        <x:f>IF('Assumptions'!$D$7&lt;&gt;"Ready","Not supplied",D20*(1-'Assumptions'!$D$28))</x:f>
        <x:v>2750</x:v>
      </x:c>
      <x:c r="E26" s="66" t="n">
        <x:f>IF('Assumptions'!$D$7&lt;&gt;"Ready","Not supplied",E20*(1-'Assumptions'!$D$28))</x:f>
        <x:v>2750</x:v>
      </x:c>
      <x:c r="F26" s="66" t="n">
        <x:f>IF('Assumptions'!$D$7&lt;&gt;"Ready","Not supplied",F20*(1-'Assumptions'!$D$28))</x:f>
        <x:v>2750</x:v>
      </x:c>
      <x:c r="G26" s="66" t="n">
        <x:f>IF('Assumptions'!$D$7&lt;&gt;"Ready","Not supplied",G20*(1-'Assumptions'!$D$28))</x:f>
        <x:v>2750</x:v>
      </x:c>
      <x:c r="H26" s="66" t="n">
        <x:f>IF('Assumptions'!$D$7&lt;&gt;"Ready","Not supplied",H20*(1-'Assumptions'!$D$28))</x:f>
        <x:v>2750</x:v>
      </x:c>
      <x:c r="I26" s="66" t="n">
        <x:f>IF('Assumptions'!$D$7&lt;&gt;"Ready","Not supplied",I20*(1-'Assumptions'!$D$28))</x:f>
        <x:v>2750</x:v>
      </x:c>
      <x:c r="J26" s="66" t="n">
        <x:f>IF('Assumptions'!$D$7&lt;&gt;"Ready","Not supplied",J20*(1-'Assumptions'!$D$28))</x:f>
        <x:v>2750</x:v>
      </x:c>
      <x:c r="K26" s="66" t="n">
        <x:f>IF('Assumptions'!$D$7&lt;&gt;"Ready","Not supplied",K20*(1-'Assumptions'!$D$28))</x:f>
        <x:v>2750</x:v>
      </x:c>
      <x:c r="L26" s="66" t="n">
        <x:f>IF('Assumptions'!$D$7&lt;&gt;"Ready","Not supplied",L20*(1-'Assumptions'!$D$28))</x:f>
        <x:v>2750</x:v>
      </x:c>
      <x:c r="M26" s="66" t="n">
        <x:f>IF('Assumptions'!$D$7&lt;&gt;"Ready","Not supplied",M20*(1-'Assumptions'!$D$28))</x:f>
        <x:v>2750</x:v>
      </x:c>
      <x:c r="N26" s="66" t="n">
        <x:f>IF('Assumptions'!$D$7&lt;&gt;"Ready","Not supplied",N20*(1-'Assumptions'!$D$28))</x:f>
        <x:v>2750</x:v>
      </x:c>
      <x:c r="O26" s="66" t="n">
        <x:f>IF('Assumptions'!$D$7&lt;&gt;"Ready","Not supplied",O20*(1-'Assumptions'!$D$28))</x:f>
        <x:v>2750</x:v>
      </x:c>
      <x:c r="P26" s="66" t="n">
        <x:f>IF('Assumptions'!$D$7&lt;&gt;"Ready","Not supplied",P20*(1-'Assumptions'!$D$28))</x:f>
        <x:v>2750</x:v>
      </x:c>
      <x:c r="Q26" s="66" t="n">
        <x:f>IF('Assumptions'!$D$7&lt;&gt;"Ready","Not supplied",Q20*(1-'Assumptions'!$D$28))</x:f>
        <x:v>2750</x:v>
      </x:c>
      <x:c r="R26" s="66" t="n">
        <x:f>IF('Assumptions'!$D$7&lt;&gt;"Ready","Not supplied",R20*(1-'Assumptions'!$D$28))</x:f>
        <x:v>2750</x:v>
      </x:c>
      <x:c r="S26" s="66" t="n">
        <x:f>IF('Assumptions'!$D$7&lt;&gt;"Ready","Not supplied",S20*(1-'Assumptions'!$D$28))</x:f>
        <x:v>2750</x:v>
      </x:c>
      <x:c r="T26" s="66" t="n">
        <x:f>IF('Assumptions'!$D$7&lt;&gt;"Ready","Not supplied",T20*(1-'Assumptions'!$D$28))</x:f>
        <x:v>2750</x:v>
      </x:c>
      <x:c r="U26" s="66" t="n">
        <x:f>IF('Assumptions'!$D$7&lt;&gt;"Ready","Not supplied",U20*(1-'Assumptions'!$D$28))</x:f>
        <x:v>2750</x:v>
      </x:c>
      <x:c r="V26" s="66" t="n">
        <x:f>IF('Assumptions'!$D$7&lt;&gt;"Ready","Not supplied",V20*(1-'Assumptions'!$D$28))</x:f>
        <x:v>2750</x:v>
      </x:c>
      <x:c r="W26" s="66" t="n">
        <x:f>IF('Assumptions'!$D$7&lt;&gt;"Ready","Not supplied",W20*(1-'Assumptions'!$D$28))</x:f>
        <x:v>2750</x:v>
      </x:c>
      <x:c r="X26" s="66" t="n">
        <x:f>IF('Assumptions'!$D$7&lt;&gt;"Ready","Not supplied",X20*(1-'Assumptions'!$D$28))</x:f>
        <x:v>2750</x:v>
      </x:c>
      <x:c r="Y26" s="66" t="n">
        <x:f>IF('Assumptions'!$D$7&lt;&gt;"Ready","Not supplied",Y20*(1-'Assumptions'!$D$28))</x:f>
        <x:v>2750</x:v>
      </x:c>
      <x:c r="Z26" s="66" t="n">
        <x:f>IF('Assumptions'!$D$7&lt;&gt;"Ready","Not supplied",Z20*(1-'Assumptions'!$D$28))</x:f>
        <x:v>2750</x:v>
      </x:c>
      <x:c r="AA26" s="66" t="n">
        <x:f>IF('Assumptions'!$D$7&lt;&gt;"Ready","Not supplied",AA20*(1-'Assumptions'!$D$28))</x:f>
        <x:v>2750</x:v>
      </x:c>
    </x:row>
    <x:row r="27" ht="21" customHeight="1">
      <x:c r="A27" s="50"/>
      <x:c r="B27" s="50"/>
      <x:c r="C27" s="56" t="str">
        <x:v>Contribution before acquisition</x:v>
      </x:c>
      <x:c r="D27" s="79" t="n">
        <x:f>IF('Assumptions'!$D$7&lt;&gt;"Ready","Not supplied",D21-SUM(D22:D26))</x:f>
        <x:v>12906</x:v>
      </x:c>
      <x:c r="E27" s="79" t="n">
        <x:f>IF('Assumptions'!$D$7&lt;&gt;"Ready","Not supplied",E21-SUM(E22:E26))</x:f>
        <x:v>13218.576000000003</x:v>
      </x:c>
      <x:c r="F27" s="79" t="n">
        <x:f>IF('Assumptions'!$D$7&lt;&gt;"Ready","Not supplied",F21-SUM(F22:F26))</x:f>
        <x:v>13524.900479999998</x:v>
      </x:c>
      <x:c r="G27" s="79" t="n">
        <x:f>IF('Assumptions'!$D$7&lt;&gt;"Ready","Not supplied",G21-SUM(G22:G26))</x:f>
        <x:v>13825.098470400004</x:v>
      </x:c>
      <x:c r="H27" s="79" t="n">
        <x:f>IF('Assumptions'!$D$7&lt;&gt;"Ready","Not supplied",H21-SUM(H22:H26))</x:f>
        <x:v>14119.292500992</x:v>
      </x:c>
      <x:c r="I27" s="79" t="n">
        <x:f>IF('Assumptions'!$D$7&lt;&gt;"Ready","Not supplied",I21-SUM(I22:I26))</x:f>
        <x:v>14407.60265097216</x:v>
      </x:c>
      <x:c r="J27" s="79" t="n">
        <x:f>IF('Assumptions'!$D$7&lt;&gt;"Ready","Not supplied",J21-SUM(J22:J26))</x:f>
        <x:v>14690.146597952718</x:v>
      </x:c>
      <x:c r="K27" s="79" t="n">
        <x:f>IF('Assumptions'!$D$7&lt;&gt;"Ready","Not supplied",K21-SUM(K22:K26))</x:f>
        <x:v>14967.03966599366</x:v>
      </x:c>
      <x:c r="L27" s="79" t="n">
        <x:f>IF('Assumptions'!$D$7&lt;&gt;"Ready","Not supplied",L21-SUM(L22:L26))</x:f>
        <x:v>15238.394872673787</x:v>
      </x:c>
      <x:c r="M27" s="79" t="n">
        <x:f>IF('Assumptions'!$D$7&lt;&gt;"Ready","Not supplied",M21-SUM(M22:M26))</x:f>
        <x:v>15504.322975220313</x:v>
      </x:c>
      <x:c r="N27" s="79" t="n">
        <x:f>IF('Assumptions'!$D$7&lt;&gt;"Ready","Not supplied",N21-SUM(N22:N26))</x:f>
        <x:v>15764.932515715907</x:v>
      </x:c>
      <x:c r="O27" s="79" t="n">
        <x:f>IF('Assumptions'!$D$7&lt;&gt;"Ready","Not supplied",O21-SUM(O22:O26))</x:f>
        <x:v>16020.329865401587</x:v>
      </x:c>
      <x:c r="P27" s="79" t="n">
        <x:f>IF('Assumptions'!$D$7&lt;&gt;"Ready","Not supplied",P21-SUM(P22:P26))</x:f>
        <x:v>16270.619268093558</x:v>
      </x:c>
      <x:c r="Q27" s="79" t="n">
        <x:f>IF('Assumptions'!$D$7&lt;&gt;"Ready","Not supplied",Q21-SUM(Q22:Q26))</x:f>
        <x:v>16515.902882731687</x:v>
      </x:c>
      <x:c r="R27" s="79" t="n">
        <x:f>IF('Assumptions'!$D$7&lt;&gt;"Ready","Not supplied",R21-SUM(R22:R26))</x:f>
        <x:v>16756.280825077047</x:v>
      </x:c>
      <x:c r="S27" s="79" t="n">
        <x:f>IF('Assumptions'!$D$7&lt;&gt;"Ready","Not supplied",S21-SUM(S22:S26))</x:f>
        <x:v>16991.851208575514</x:v>
      </x:c>
      <x:c r="T27" s="79" t="n">
        <x:f>IF('Assumptions'!$D$7&lt;&gt;"Ready","Not supplied",T21-SUM(T22:T26))</x:f>
        <x:v>17222.710184404</x:v>
      </x:c>
      <x:c r="U27" s="79" t="n">
        <x:f>IF('Assumptions'!$D$7&lt;&gt;"Ready","Not supplied",U21-SUM(U22:U26))</x:f>
        <x:v>17448.95198071592</x:v>
      </x:c>
      <x:c r="V27" s="79" t="n">
        <x:f>IF('Assumptions'!$D$7&lt;&gt;"Ready","Not supplied",V21-SUM(V22:V26))</x:f>
        <x:v>17670.668941101605</x:v>
      </x:c>
      <x:c r="W27" s="79" t="n">
        <x:f>IF('Assumptions'!$D$7&lt;&gt;"Ready","Not supplied",W21-SUM(W22:W26))</x:f>
        <x:v>17887.951562279566</x:v>
      </x:c>
      <x:c r="X27" s="79" t="n">
        <x:f>IF('Assumptions'!$D$7&lt;&gt;"Ready","Not supplied",X21-SUM(X22:X26))</x:f>
        <x:v>18100.888531033976</x:v>
      </x:c>
      <x:c r="Y27" s="79" t="n">
        <x:f>IF('Assumptions'!$D$7&lt;&gt;"Ready","Not supplied",Y21-SUM(Y22:Y26))</x:f>
        <x:v>18309.566760413298</x:v>
      </x:c>
      <x:c r="Z27" s="79" t="n">
        <x:f>IF('Assumptions'!$D$7&lt;&gt;"Ready","Not supplied",Z21-SUM(Z22:Z26))</x:f>
        <x:v>18514.07142520503</x:v>
      </x:c>
      <x:c r="AA27" s="79" t="n">
        <x:f>IF('Assumptions'!$D$7&lt;&gt;"Ready","Not supplied",AA21-SUM(AA22:AA26))</x:f>
        <x:v>18714.485996700932</x:v>
      </x:c>
    </x:row>
    <x:row r="28" ht="21" customHeight="1">
      <x:c r="A28" s="50"/>
      <x:c r="B28" s="50"/>
      <x:c r="C28" s="50" t="str">
        <x:v>Baseline acquisition</x:v>
      </x:c>
      <x:c r="D28" s="66" t="n">
        <x:f>IF('Assumptions'!$D$7&lt;&gt;"Ready","Not supplied",'Assumptions'!$D$25)</x:f>
        <x:v>2000</x:v>
      </x:c>
      <x:c r="E28" s="66" t="n">
        <x:f>IF('Assumptions'!$D$7&lt;&gt;"Ready","Not supplied",'Assumptions'!$D$25)</x:f>
        <x:v>2000</x:v>
      </x:c>
      <x:c r="F28" s="66" t="n">
        <x:f>IF('Assumptions'!$D$7&lt;&gt;"Ready","Not supplied",'Assumptions'!$D$25)</x:f>
        <x:v>2000</x:v>
      </x:c>
      <x:c r="G28" s="66" t="n">
        <x:f>IF('Assumptions'!$D$7&lt;&gt;"Ready","Not supplied",'Assumptions'!$D$25)</x:f>
        <x:v>2000</x:v>
      </x:c>
      <x:c r="H28" s="66" t="n">
        <x:f>IF('Assumptions'!$D$7&lt;&gt;"Ready","Not supplied",'Assumptions'!$D$25)</x:f>
        <x:v>2000</x:v>
      </x:c>
      <x:c r="I28" s="66" t="n">
        <x:f>IF('Assumptions'!$D$7&lt;&gt;"Ready","Not supplied",'Assumptions'!$D$25)</x:f>
        <x:v>2000</x:v>
      </x:c>
      <x:c r="J28" s="66" t="n">
        <x:f>IF('Assumptions'!$D$7&lt;&gt;"Ready","Not supplied",'Assumptions'!$D$25)</x:f>
        <x:v>2000</x:v>
      </x:c>
      <x:c r="K28" s="66" t="n">
        <x:f>IF('Assumptions'!$D$7&lt;&gt;"Ready","Not supplied",'Assumptions'!$D$25)</x:f>
        <x:v>2000</x:v>
      </x:c>
      <x:c r="L28" s="66" t="n">
        <x:f>IF('Assumptions'!$D$7&lt;&gt;"Ready","Not supplied",'Assumptions'!$D$25)</x:f>
        <x:v>2000</x:v>
      </x:c>
      <x:c r="M28" s="66" t="n">
        <x:f>IF('Assumptions'!$D$7&lt;&gt;"Ready","Not supplied",'Assumptions'!$D$25)</x:f>
        <x:v>2000</x:v>
      </x:c>
      <x:c r="N28" s="66" t="n">
        <x:f>IF('Assumptions'!$D$7&lt;&gt;"Ready","Not supplied",'Assumptions'!$D$25)</x:f>
        <x:v>2000</x:v>
      </x:c>
      <x:c r="O28" s="66" t="n">
        <x:f>IF('Assumptions'!$D$7&lt;&gt;"Ready","Not supplied",'Assumptions'!$D$25)</x:f>
        <x:v>2000</x:v>
      </x:c>
      <x:c r="P28" s="66" t="n">
        <x:f>IF('Assumptions'!$D$7&lt;&gt;"Ready","Not supplied",'Assumptions'!$D$25)</x:f>
        <x:v>2000</x:v>
      </x:c>
      <x:c r="Q28" s="66" t="n">
        <x:f>IF('Assumptions'!$D$7&lt;&gt;"Ready","Not supplied",'Assumptions'!$D$25)</x:f>
        <x:v>2000</x:v>
      </x:c>
      <x:c r="R28" s="66" t="n">
        <x:f>IF('Assumptions'!$D$7&lt;&gt;"Ready","Not supplied",'Assumptions'!$D$25)</x:f>
        <x:v>2000</x:v>
      </x:c>
      <x:c r="S28" s="66" t="n">
        <x:f>IF('Assumptions'!$D$7&lt;&gt;"Ready","Not supplied",'Assumptions'!$D$25)</x:f>
        <x:v>2000</x:v>
      </x:c>
      <x:c r="T28" s="66" t="n">
        <x:f>IF('Assumptions'!$D$7&lt;&gt;"Ready","Not supplied",'Assumptions'!$D$25)</x:f>
        <x:v>2000</x:v>
      </x:c>
      <x:c r="U28" s="66" t="n">
        <x:f>IF('Assumptions'!$D$7&lt;&gt;"Ready","Not supplied",'Assumptions'!$D$25)</x:f>
        <x:v>2000</x:v>
      </x:c>
      <x:c r="V28" s="66" t="n">
        <x:f>IF('Assumptions'!$D$7&lt;&gt;"Ready","Not supplied",'Assumptions'!$D$25)</x:f>
        <x:v>2000</x:v>
      </x:c>
      <x:c r="W28" s="66" t="n">
        <x:f>IF('Assumptions'!$D$7&lt;&gt;"Ready","Not supplied",'Assumptions'!$D$25)</x:f>
        <x:v>2000</x:v>
      </x:c>
      <x:c r="X28" s="66" t="n">
        <x:f>IF('Assumptions'!$D$7&lt;&gt;"Ready","Not supplied",'Assumptions'!$D$25)</x:f>
        <x:v>2000</x:v>
      </x:c>
      <x:c r="Y28" s="66" t="n">
        <x:f>IF('Assumptions'!$D$7&lt;&gt;"Ready","Not supplied",'Assumptions'!$D$25)</x:f>
        <x:v>2000</x:v>
      </x:c>
      <x:c r="Z28" s="66" t="n">
        <x:f>IF('Assumptions'!$D$7&lt;&gt;"Ready","Not supplied",'Assumptions'!$D$25)</x:f>
        <x:v>2000</x:v>
      </x:c>
      <x:c r="AA28" s="66" t="n">
        <x:f>IF('Assumptions'!$D$7&lt;&gt;"Ready","Not supplied",'Assumptions'!$D$25)</x:f>
        <x:v>2000</x:v>
      </x:c>
    </x:row>
    <x:row r="29" ht="21" customHeight="1">
      <x:c r="A29" s="50"/>
      <x:c r="B29" s="50"/>
      <x:c r="C29" s="50" t="str">
        <x:v>Baseline fixed operations</x:v>
      </x:c>
      <x:c r="D29" s="66" t="n">
        <x:f>IF('Assumptions'!$D$7&lt;&gt;"Ready","Not supplied",'Assumptions'!$D$26)</x:f>
        <x:v>6000</x:v>
      </x:c>
      <x:c r="E29" s="66" t="n">
        <x:f>IF('Assumptions'!$D$7&lt;&gt;"Ready","Not supplied",'Assumptions'!$D$26)</x:f>
        <x:v>6000</x:v>
      </x:c>
      <x:c r="F29" s="66" t="n">
        <x:f>IF('Assumptions'!$D$7&lt;&gt;"Ready","Not supplied",'Assumptions'!$D$26)</x:f>
        <x:v>6000</x:v>
      </x:c>
      <x:c r="G29" s="66" t="n">
        <x:f>IF('Assumptions'!$D$7&lt;&gt;"Ready","Not supplied",'Assumptions'!$D$26)</x:f>
        <x:v>6000</x:v>
      </x:c>
      <x:c r="H29" s="66" t="n">
        <x:f>IF('Assumptions'!$D$7&lt;&gt;"Ready","Not supplied",'Assumptions'!$D$26)</x:f>
        <x:v>6000</x:v>
      </x:c>
      <x:c r="I29" s="66" t="n">
        <x:f>IF('Assumptions'!$D$7&lt;&gt;"Ready","Not supplied",'Assumptions'!$D$26)</x:f>
        <x:v>6000</x:v>
      </x:c>
      <x:c r="J29" s="66" t="n">
        <x:f>IF('Assumptions'!$D$7&lt;&gt;"Ready","Not supplied",'Assumptions'!$D$26)</x:f>
        <x:v>6000</x:v>
      </x:c>
      <x:c r="K29" s="66" t="n">
        <x:f>IF('Assumptions'!$D$7&lt;&gt;"Ready","Not supplied",'Assumptions'!$D$26)</x:f>
        <x:v>6000</x:v>
      </x:c>
      <x:c r="L29" s="66" t="n">
        <x:f>IF('Assumptions'!$D$7&lt;&gt;"Ready","Not supplied",'Assumptions'!$D$26)</x:f>
        <x:v>6000</x:v>
      </x:c>
      <x:c r="M29" s="66" t="n">
        <x:f>IF('Assumptions'!$D$7&lt;&gt;"Ready","Not supplied",'Assumptions'!$D$26)</x:f>
        <x:v>6000</x:v>
      </x:c>
      <x:c r="N29" s="66" t="n">
        <x:f>IF('Assumptions'!$D$7&lt;&gt;"Ready","Not supplied",'Assumptions'!$D$26)</x:f>
        <x:v>6000</x:v>
      </x:c>
      <x:c r="O29" s="66" t="n">
        <x:f>IF('Assumptions'!$D$7&lt;&gt;"Ready","Not supplied",'Assumptions'!$D$26)</x:f>
        <x:v>6000</x:v>
      </x:c>
      <x:c r="P29" s="66" t="n">
        <x:f>IF('Assumptions'!$D$7&lt;&gt;"Ready","Not supplied",'Assumptions'!$D$26)</x:f>
        <x:v>6000</x:v>
      </x:c>
      <x:c r="Q29" s="66" t="n">
        <x:f>IF('Assumptions'!$D$7&lt;&gt;"Ready","Not supplied",'Assumptions'!$D$26)</x:f>
        <x:v>6000</x:v>
      </x:c>
      <x:c r="R29" s="66" t="n">
        <x:f>IF('Assumptions'!$D$7&lt;&gt;"Ready","Not supplied",'Assumptions'!$D$26)</x:f>
        <x:v>6000</x:v>
      </x:c>
      <x:c r="S29" s="66" t="n">
        <x:f>IF('Assumptions'!$D$7&lt;&gt;"Ready","Not supplied",'Assumptions'!$D$26)</x:f>
        <x:v>6000</x:v>
      </x:c>
      <x:c r="T29" s="66" t="n">
        <x:f>IF('Assumptions'!$D$7&lt;&gt;"Ready","Not supplied",'Assumptions'!$D$26)</x:f>
        <x:v>6000</x:v>
      </x:c>
      <x:c r="U29" s="66" t="n">
        <x:f>IF('Assumptions'!$D$7&lt;&gt;"Ready","Not supplied",'Assumptions'!$D$26)</x:f>
        <x:v>6000</x:v>
      </x:c>
      <x:c r="V29" s="66" t="n">
        <x:f>IF('Assumptions'!$D$7&lt;&gt;"Ready","Not supplied",'Assumptions'!$D$26)</x:f>
        <x:v>6000</x:v>
      </x:c>
      <x:c r="W29" s="66" t="n">
        <x:f>IF('Assumptions'!$D$7&lt;&gt;"Ready","Not supplied",'Assumptions'!$D$26)</x:f>
        <x:v>6000</x:v>
      </x:c>
      <x:c r="X29" s="66" t="n">
        <x:f>IF('Assumptions'!$D$7&lt;&gt;"Ready","Not supplied",'Assumptions'!$D$26)</x:f>
        <x:v>6000</x:v>
      </x:c>
      <x:c r="Y29" s="66" t="n">
        <x:f>IF('Assumptions'!$D$7&lt;&gt;"Ready","Not supplied",'Assumptions'!$D$26)</x:f>
        <x:v>6000</x:v>
      </x:c>
      <x:c r="Z29" s="66" t="n">
        <x:f>IF('Assumptions'!$D$7&lt;&gt;"Ready","Not supplied",'Assumptions'!$D$26)</x:f>
        <x:v>6000</x:v>
      </x:c>
      <x:c r="AA29" s="66" t="n">
        <x:f>IF('Assumptions'!$D$7&lt;&gt;"Ready","Not supplied",'Assumptions'!$D$26)</x:f>
        <x:v>6000</x:v>
      </x:c>
    </x:row>
    <x:row r="30" ht="21" customHeight="1">
      <x:c r="A30" s="50"/>
      <x:c r="B30" s="50"/>
      <x:c r="C30" s="56" t="str">
        <x:v>Operating contribution</x:v>
      </x:c>
      <x:c r="D30" s="78" t="n">
        <x:f>IF('Assumptions'!$D$7&lt;&gt;"Ready","Not supplied",D27-SUM(D28:D29))</x:f>
        <x:v>4906</x:v>
      </x:c>
      <x:c r="E30" s="78" t="n">
        <x:f>IF('Assumptions'!$D$7&lt;&gt;"Ready","Not supplied",E27-SUM(E28:E29))</x:f>
        <x:v>5218.576000000003</x:v>
      </x:c>
      <x:c r="F30" s="78" t="n">
        <x:f>IF('Assumptions'!$D$7&lt;&gt;"Ready","Not supplied",F27-SUM(F28:F29))</x:f>
        <x:v>5524.900479999998</x:v>
      </x:c>
      <x:c r="G30" s="78" t="n">
        <x:f>IF('Assumptions'!$D$7&lt;&gt;"Ready","Not supplied",G27-SUM(G28:G29))</x:f>
        <x:v>5825.098470400004</x:v>
      </x:c>
      <x:c r="H30" s="78" t="n">
        <x:f>IF('Assumptions'!$D$7&lt;&gt;"Ready","Not supplied",H27-SUM(H28:H29))</x:f>
        <x:v>6119.292500992</x:v>
      </x:c>
      <x:c r="I30" s="78" t="n">
        <x:f>IF('Assumptions'!$D$7&lt;&gt;"Ready","Not supplied",I27-SUM(I28:I29))</x:f>
        <x:v>6407.60265097216</x:v>
      </x:c>
      <x:c r="J30" s="78" t="n">
        <x:f>IF('Assumptions'!$D$7&lt;&gt;"Ready","Not supplied",J27-SUM(J28:J29))</x:f>
        <x:v>6690.146597952718</x:v>
      </x:c>
      <x:c r="K30" s="78" t="n">
        <x:f>IF('Assumptions'!$D$7&lt;&gt;"Ready","Not supplied",K27-SUM(K28:K29))</x:f>
        <x:v>6967.03966599366</x:v>
      </x:c>
      <x:c r="L30" s="78" t="n">
        <x:f>IF('Assumptions'!$D$7&lt;&gt;"Ready","Not supplied",L27-SUM(L28:L29))</x:f>
        <x:v>7238.394872673787</x:v>
      </x:c>
      <x:c r="M30" s="78" t="n">
        <x:f>IF('Assumptions'!$D$7&lt;&gt;"Ready","Not supplied",M27-SUM(M28:M29))</x:f>
        <x:v>7504.322975220313</x:v>
      </x:c>
      <x:c r="N30" s="78" t="n">
        <x:f>IF('Assumptions'!$D$7&lt;&gt;"Ready","Not supplied",N27-SUM(N28:N29))</x:f>
        <x:v>7764.932515715907</x:v>
      </x:c>
      <x:c r="O30" s="78" t="n">
        <x:f>IF('Assumptions'!$D$7&lt;&gt;"Ready","Not supplied",O27-SUM(O28:O29))</x:f>
        <x:v>8020.329865401587</x:v>
      </x:c>
      <x:c r="P30" s="78" t="n">
        <x:f>IF('Assumptions'!$D$7&lt;&gt;"Ready","Not supplied",P27-SUM(P28:P29))</x:f>
        <x:v>8270.619268093558</x:v>
      </x:c>
      <x:c r="Q30" s="78" t="n">
        <x:f>IF('Assumptions'!$D$7&lt;&gt;"Ready","Not supplied",Q27-SUM(Q28:Q29))</x:f>
        <x:v>8515.902882731687</x:v>
      </x:c>
      <x:c r="R30" s="78" t="n">
        <x:f>IF('Assumptions'!$D$7&lt;&gt;"Ready","Not supplied",R27-SUM(R28:R29))</x:f>
        <x:v>8756.280825077047</x:v>
      </x:c>
      <x:c r="S30" s="78" t="n">
        <x:f>IF('Assumptions'!$D$7&lt;&gt;"Ready","Not supplied",S27-SUM(S28:S29))</x:f>
        <x:v>8991.851208575514</x:v>
      </x:c>
      <x:c r="T30" s="78" t="n">
        <x:f>IF('Assumptions'!$D$7&lt;&gt;"Ready","Not supplied",T27-SUM(T28:T29))</x:f>
        <x:v>9222.710184404</x:v>
      </x:c>
      <x:c r="U30" s="78" t="n">
        <x:f>IF('Assumptions'!$D$7&lt;&gt;"Ready","Not supplied",U27-SUM(U28:U29))</x:f>
        <x:v>9448.95198071592</x:v>
      </x:c>
      <x:c r="V30" s="78" t="n">
        <x:f>IF('Assumptions'!$D$7&lt;&gt;"Ready","Not supplied",V27-SUM(V28:V29))</x:f>
        <x:v>9670.668941101605</x:v>
      </x:c>
      <x:c r="W30" s="78" t="n">
        <x:f>IF('Assumptions'!$D$7&lt;&gt;"Ready","Not supplied",W27-SUM(W28:W29))</x:f>
        <x:v>9887.951562279566</x:v>
      </x:c>
      <x:c r="X30" s="78" t="n">
        <x:f>IF('Assumptions'!$D$7&lt;&gt;"Ready","Not supplied",X27-SUM(X28:X29))</x:f>
        <x:v>10100.888531033976</x:v>
      </x:c>
      <x:c r="Y30" s="78" t="n">
        <x:f>IF('Assumptions'!$D$7&lt;&gt;"Ready","Not supplied",Y27-SUM(Y28:Y29))</x:f>
        <x:v>10309.566760413298</x:v>
      </x:c>
      <x:c r="Z30" s="78" t="n">
        <x:f>IF('Assumptions'!$D$7&lt;&gt;"Ready","Not supplied",Z27-SUM(Z28:Z29))</x:f>
        <x:v>10514.071425205031</x:v>
      </x:c>
      <x:c r="AA30" s="78" t="n">
        <x:f>IF('Assumptions'!$D$7&lt;&gt;"Ready","Not supplied",AA27-SUM(AA28:AA29))</x:f>
        <x:v>10714.485996700932</x:v>
      </x:c>
    </x:row>
    <x:row r="31" ht="21" customHeight="1">
      <x:c r="A31" s="50"/>
      <x:c r="B31" s="50"/>
      <x:c r="C31" s="50"/>
      <x:c r="D31" s="58"/>
      <x:c r="E31" s="58"/>
      <x:c r="F31" s="58"/>
      <x:c r="G31" s="58"/>
      <x:c r="H31" s="58"/>
      <x:c r="I31" s="58"/>
      <x:c r="J31" s="58"/>
      <x:c r="K31" s="58"/>
      <x:c r="L31" s="58"/>
      <x:c r="M31" s="58"/>
      <x:c r="N31" s="58"/>
      <x:c r="O31" s="58"/>
      <x:c r="P31" s="58"/>
      <x:c r="Q31" s="58"/>
      <x:c r="R31" s="58"/>
      <x:c r="S31" s="58"/>
      <x:c r="T31" s="58"/>
      <x:c r="U31" s="58"/>
      <x:c r="V31" s="58"/>
      <x:c r="W31" s="58"/>
      <x:c r="X31" s="58"/>
      <x:c r="Y31" s="58"/>
      <x:c r="Z31" s="58"/>
      <x:c r="AA31" s="58"/>
    </x:row>
    <x:row r="32" ht="21" customHeight="1">
      <x:c r="A32" s="50"/>
      <x:c r="B32" s="50"/>
      <x:c r="C32" s="77" t="str">
        <x:v>WITH recommendations | selected case</x:v>
      </x:c>
      <x:c r="D32" s="80"/>
      <x:c r="E32" s="80"/>
      <x:c r="F32" s="80"/>
      <x:c r="G32" s="80"/>
      <x:c r="H32" s="80"/>
      <x:c r="I32" s="80"/>
      <x:c r="J32" s="80"/>
      <x:c r="K32" s="80"/>
      <x:c r="L32" s="80"/>
      <x:c r="M32" s="80"/>
      <x:c r="N32" s="80"/>
      <x:c r="O32" s="80"/>
      <x:c r="P32" s="80"/>
      <x:c r="Q32" s="80"/>
      <x:c r="R32" s="80"/>
      <x:c r="S32" s="80"/>
      <x:c r="T32" s="80"/>
      <x:c r="U32" s="80"/>
      <x:c r="V32" s="80"/>
      <x:c r="W32" s="80"/>
      <x:c r="X32" s="80"/>
      <x:c r="Y32" s="80"/>
      <x:c r="Z32" s="80"/>
      <x:c r="AA32" s="80"/>
    </x:row>
    <x:row r="33" ht="21" customHeight="1">
      <x:c r="A33" s="50"/>
      <x:c r="B33" s="50"/>
      <x:c r="C33" s="81" t="str">
        <x:v>Adoption fraction</x:v>
      </x:c>
      <x:c r="D33" s="82" t="n">
        <x:f>IF('Assumptions'!$D$7&lt;&gt;"Ready","Not supplied",IF(D8&lt;'Assumptions'!$D$35,0,MIN(1,(D8-'Assumptions'!$D$35+1)/MAX(1,'Assumptions'!$D$40))*'Assumptions'!$D$45))</x:f>
        <x:v>0</x:v>
      </x:c>
      <x:c r="E33" s="82" t="n">
        <x:f>IF('Assumptions'!$D$7&lt;&gt;"Ready","Not supplied",IF(E8&lt;'Assumptions'!$D$35,0,MIN(1,(E8-'Assumptions'!$D$35+1)/MAX(1,'Assumptions'!$D$40))*'Assumptions'!$D$45))</x:f>
        <x:v>0</x:v>
      </x:c>
      <x:c r="F33" s="82" t="n">
        <x:f>IF('Assumptions'!$D$7&lt;&gt;"Ready","Not supplied",IF(F8&lt;'Assumptions'!$D$35,0,MIN(1,(F8-'Assumptions'!$D$35+1)/MAX(1,'Assumptions'!$D$40))*'Assumptions'!$D$45))</x:f>
        <x:v>0.15</x:v>
      </x:c>
      <x:c r="G33" s="82" t="n">
        <x:f>IF('Assumptions'!$D$7&lt;&gt;"Ready","Not supplied",IF(G8&lt;'Assumptions'!$D$35,0,MIN(1,(G8-'Assumptions'!$D$35+1)/MAX(1,'Assumptions'!$D$40))*'Assumptions'!$D$45))</x:f>
        <x:v>0.3</x:v>
      </x:c>
      <x:c r="H33" s="82" t="n">
        <x:f>IF('Assumptions'!$D$7&lt;&gt;"Ready","Not supplied",IF(H8&lt;'Assumptions'!$D$35,0,MIN(1,(H8-'Assumptions'!$D$35+1)/MAX(1,'Assumptions'!$D$40))*'Assumptions'!$D$45))</x:f>
        <x:v>0.44999999999999996</x:v>
      </x:c>
      <x:c r="I33" s="82" t="n">
        <x:f>IF('Assumptions'!$D$7&lt;&gt;"Ready","Not supplied",IF(I8&lt;'Assumptions'!$D$35,0,MIN(1,(I8-'Assumptions'!$D$35+1)/MAX(1,'Assumptions'!$D$40))*'Assumptions'!$D$45))</x:f>
        <x:v>0.6</x:v>
      </x:c>
      <x:c r="J33" s="82" t="n">
        <x:f>IF('Assumptions'!$D$7&lt;&gt;"Ready","Not supplied",IF(J8&lt;'Assumptions'!$D$35,0,MIN(1,(J8-'Assumptions'!$D$35+1)/MAX(1,'Assumptions'!$D$40))*'Assumptions'!$D$45))</x:f>
        <x:v>0.6</x:v>
      </x:c>
      <x:c r="K33" s="82" t="n">
        <x:f>IF('Assumptions'!$D$7&lt;&gt;"Ready","Not supplied",IF(K8&lt;'Assumptions'!$D$35,0,MIN(1,(K8-'Assumptions'!$D$35+1)/MAX(1,'Assumptions'!$D$40))*'Assumptions'!$D$45))</x:f>
        <x:v>0.6</x:v>
      </x:c>
      <x:c r="L33" s="82" t="n">
        <x:f>IF('Assumptions'!$D$7&lt;&gt;"Ready","Not supplied",IF(L8&lt;'Assumptions'!$D$35,0,MIN(1,(L8-'Assumptions'!$D$35+1)/MAX(1,'Assumptions'!$D$40))*'Assumptions'!$D$45))</x:f>
        <x:v>0.6</x:v>
      </x:c>
      <x:c r="M33" s="82" t="n">
        <x:f>IF('Assumptions'!$D$7&lt;&gt;"Ready","Not supplied",IF(M8&lt;'Assumptions'!$D$35,0,MIN(1,(M8-'Assumptions'!$D$35+1)/MAX(1,'Assumptions'!$D$40))*'Assumptions'!$D$45))</x:f>
        <x:v>0.6</x:v>
      </x:c>
      <x:c r="N33" s="82" t="n">
        <x:f>IF('Assumptions'!$D$7&lt;&gt;"Ready","Not supplied",IF(N8&lt;'Assumptions'!$D$35,0,MIN(1,(N8-'Assumptions'!$D$35+1)/MAX(1,'Assumptions'!$D$40))*'Assumptions'!$D$45))</x:f>
        <x:v>0.6</x:v>
      </x:c>
      <x:c r="O33" s="82" t="n">
        <x:f>IF('Assumptions'!$D$7&lt;&gt;"Ready","Not supplied",IF(O8&lt;'Assumptions'!$D$35,0,MIN(1,(O8-'Assumptions'!$D$35+1)/MAX(1,'Assumptions'!$D$40))*'Assumptions'!$D$45))</x:f>
        <x:v>0.6</x:v>
      </x:c>
      <x:c r="P33" s="82" t="n">
        <x:f>IF('Assumptions'!$D$7&lt;&gt;"Ready","Not supplied",IF(P8&lt;'Assumptions'!$D$35,0,MIN(1,(P8-'Assumptions'!$D$35+1)/MAX(1,'Assumptions'!$D$40))*'Assumptions'!$D$45))</x:f>
        <x:v>0.6</x:v>
      </x:c>
      <x:c r="Q33" s="82" t="n">
        <x:f>IF('Assumptions'!$D$7&lt;&gt;"Ready","Not supplied",IF(Q8&lt;'Assumptions'!$D$35,0,MIN(1,(Q8-'Assumptions'!$D$35+1)/MAX(1,'Assumptions'!$D$40))*'Assumptions'!$D$45))</x:f>
        <x:v>0.6</x:v>
      </x:c>
      <x:c r="R33" s="82" t="n">
        <x:f>IF('Assumptions'!$D$7&lt;&gt;"Ready","Not supplied",IF(R8&lt;'Assumptions'!$D$35,0,MIN(1,(R8-'Assumptions'!$D$35+1)/MAX(1,'Assumptions'!$D$40))*'Assumptions'!$D$45))</x:f>
        <x:v>0.6</x:v>
      </x:c>
      <x:c r="S33" s="82" t="n">
        <x:f>IF('Assumptions'!$D$7&lt;&gt;"Ready","Not supplied",IF(S8&lt;'Assumptions'!$D$35,0,MIN(1,(S8-'Assumptions'!$D$35+1)/MAX(1,'Assumptions'!$D$40))*'Assumptions'!$D$45))</x:f>
        <x:v>0.6</x:v>
      </x:c>
      <x:c r="T33" s="82" t="n">
        <x:f>IF('Assumptions'!$D$7&lt;&gt;"Ready","Not supplied",IF(T8&lt;'Assumptions'!$D$35,0,MIN(1,(T8-'Assumptions'!$D$35+1)/MAX(1,'Assumptions'!$D$40))*'Assumptions'!$D$45))</x:f>
        <x:v>0.6</x:v>
      </x:c>
      <x:c r="U33" s="82" t="n">
        <x:f>IF('Assumptions'!$D$7&lt;&gt;"Ready","Not supplied",IF(U8&lt;'Assumptions'!$D$35,0,MIN(1,(U8-'Assumptions'!$D$35+1)/MAX(1,'Assumptions'!$D$40))*'Assumptions'!$D$45))</x:f>
        <x:v>0.6</x:v>
      </x:c>
      <x:c r="V33" s="82" t="n">
        <x:f>IF('Assumptions'!$D$7&lt;&gt;"Ready","Not supplied",IF(V8&lt;'Assumptions'!$D$35,0,MIN(1,(V8-'Assumptions'!$D$35+1)/MAX(1,'Assumptions'!$D$40))*'Assumptions'!$D$45))</x:f>
        <x:v>0.6</x:v>
      </x:c>
      <x:c r="W33" s="82" t="n">
        <x:f>IF('Assumptions'!$D$7&lt;&gt;"Ready","Not supplied",IF(W8&lt;'Assumptions'!$D$35,0,MIN(1,(W8-'Assumptions'!$D$35+1)/MAX(1,'Assumptions'!$D$40))*'Assumptions'!$D$45))</x:f>
        <x:v>0.6</x:v>
      </x:c>
      <x:c r="X33" s="82" t="n">
        <x:f>IF('Assumptions'!$D$7&lt;&gt;"Ready","Not supplied",IF(X8&lt;'Assumptions'!$D$35,0,MIN(1,(X8-'Assumptions'!$D$35+1)/MAX(1,'Assumptions'!$D$40))*'Assumptions'!$D$45))</x:f>
        <x:v>0.6</x:v>
      </x:c>
      <x:c r="Y33" s="82" t="n">
        <x:f>IF('Assumptions'!$D$7&lt;&gt;"Ready","Not supplied",IF(Y8&lt;'Assumptions'!$D$35,0,MIN(1,(Y8-'Assumptions'!$D$35+1)/MAX(1,'Assumptions'!$D$40))*'Assumptions'!$D$45))</x:f>
        <x:v>0.6</x:v>
      </x:c>
      <x:c r="Z33" s="82" t="n">
        <x:f>IF('Assumptions'!$D$7&lt;&gt;"Ready","Not supplied",IF(Z8&lt;'Assumptions'!$D$35,0,MIN(1,(Z8-'Assumptions'!$D$35+1)/MAX(1,'Assumptions'!$D$40))*'Assumptions'!$D$45))</x:f>
        <x:v>0.6</x:v>
      </x:c>
      <x:c r="AA33" s="82" t="n">
        <x:f>IF('Assumptions'!$D$7&lt;&gt;"Ready","Not supplied",IF(AA8&lt;'Assumptions'!$D$35,0,MIN(1,(AA8-'Assumptions'!$D$35+1)/MAX(1,'Assumptions'!$D$40))*'Assumptions'!$D$45))</x:f>
        <x:v>0.6</x:v>
      </x:c>
    </x:row>
    <x:row r="34" ht="21" customHeight="1">
      <x:c r="A34" s="50"/>
      <x:c r="B34" s="50"/>
      <x:c r="C34" s="81" t="str">
        <x:v>Effective benefit multiplier</x:v>
      </x:c>
      <x:c r="D34" s="82" t="n">
        <x:f>IF('Assumptions'!$D$7&lt;&gt;"Ready","Not supplied",D33*(1-'Assumptions'!$D$70)*'Assumptions'!$D$5)</x:f>
        <x:v>0</x:v>
      </x:c>
      <x:c r="E34" s="82" t="n">
        <x:f>IF('Assumptions'!$D$7&lt;&gt;"Ready","Not supplied",E33*(1-'Assumptions'!$D$70)*'Assumptions'!$D$5)</x:f>
        <x:v>0</x:v>
      </x:c>
      <x:c r="F34" s="82" t="n">
        <x:f>IF('Assumptions'!$D$7&lt;&gt;"Ready","Not supplied",F33*(1-'Assumptions'!$D$70)*'Assumptions'!$D$5)</x:f>
        <x:v>0.12</x:v>
      </x:c>
      <x:c r="G34" s="82" t="n">
        <x:f>IF('Assumptions'!$D$7&lt;&gt;"Ready","Not supplied",G33*(1-'Assumptions'!$D$70)*'Assumptions'!$D$5)</x:f>
        <x:v>0.24</x:v>
      </x:c>
      <x:c r="H34" s="82" t="n">
        <x:f>IF('Assumptions'!$D$7&lt;&gt;"Ready","Not supplied",H33*(1-'Assumptions'!$D$70)*'Assumptions'!$D$5)</x:f>
        <x:v>0.36</x:v>
      </x:c>
      <x:c r="I34" s="82" t="n">
        <x:f>IF('Assumptions'!$D$7&lt;&gt;"Ready","Not supplied",I33*(1-'Assumptions'!$D$70)*'Assumptions'!$D$5)</x:f>
        <x:v>0.48</x:v>
      </x:c>
      <x:c r="J34" s="82" t="n">
        <x:f>IF('Assumptions'!$D$7&lt;&gt;"Ready","Not supplied",J33*(1-'Assumptions'!$D$70)*'Assumptions'!$D$5)</x:f>
        <x:v>0.48</x:v>
      </x:c>
      <x:c r="K34" s="82" t="n">
        <x:f>IF('Assumptions'!$D$7&lt;&gt;"Ready","Not supplied",K33*(1-'Assumptions'!$D$70)*'Assumptions'!$D$5)</x:f>
        <x:v>0.48</x:v>
      </x:c>
      <x:c r="L34" s="82" t="n">
        <x:f>IF('Assumptions'!$D$7&lt;&gt;"Ready","Not supplied",L33*(1-'Assumptions'!$D$70)*'Assumptions'!$D$5)</x:f>
        <x:v>0.48</x:v>
      </x:c>
      <x:c r="M34" s="82" t="n">
        <x:f>IF('Assumptions'!$D$7&lt;&gt;"Ready","Not supplied",M33*(1-'Assumptions'!$D$70)*'Assumptions'!$D$5)</x:f>
        <x:v>0.48</x:v>
      </x:c>
      <x:c r="N34" s="82" t="n">
        <x:f>IF('Assumptions'!$D$7&lt;&gt;"Ready","Not supplied",N33*(1-'Assumptions'!$D$70)*'Assumptions'!$D$5)</x:f>
        <x:v>0.48</x:v>
      </x:c>
      <x:c r="O34" s="82" t="n">
        <x:f>IF('Assumptions'!$D$7&lt;&gt;"Ready","Not supplied",O33*(1-'Assumptions'!$D$70)*'Assumptions'!$D$5)</x:f>
        <x:v>0.48</x:v>
      </x:c>
      <x:c r="P34" s="82" t="n">
        <x:f>IF('Assumptions'!$D$7&lt;&gt;"Ready","Not supplied",P33*(1-'Assumptions'!$D$70)*'Assumptions'!$D$5)</x:f>
        <x:v>0.48</x:v>
      </x:c>
      <x:c r="Q34" s="82" t="n">
        <x:f>IF('Assumptions'!$D$7&lt;&gt;"Ready","Not supplied",Q33*(1-'Assumptions'!$D$70)*'Assumptions'!$D$5)</x:f>
        <x:v>0.48</x:v>
      </x:c>
      <x:c r="R34" s="82" t="n">
        <x:f>IF('Assumptions'!$D$7&lt;&gt;"Ready","Not supplied",R33*(1-'Assumptions'!$D$70)*'Assumptions'!$D$5)</x:f>
        <x:v>0.48</x:v>
      </x:c>
      <x:c r="S34" s="82" t="n">
        <x:f>IF('Assumptions'!$D$7&lt;&gt;"Ready","Not supplied",S33*(1-'Assumptions'!$D$70)*'Assumptions'!$D$5)</x:f>
        <x:v>0.48</x:v>
      </x:c>
      <x:c r="T34" s="82" t="n">
        <x:f>IF('Assumptions'!$D$7&lt;&gt;"Ready","Not supplied",T33*(1-'Assumptions'!$D$70)*'Assumptions'!$D$5)</x:f>
        <x:v>0.48</x:v>
      </x:c>
      <x:c r="U34" s="82" t="n">
        <x:f>IF('Assumptions'!$D$7&lt;&gt;"Ready","Not supplied",U33*(1-'Assumptions'!$D$70)*'Assumptions'!$D$5)</x:f>
        <x:v>0.48</x:v>
      </x:c>
      <x:c r="V34" s="82" t="n">
        <x:f>IF('Assumptions'!$D$7&lt;&gt;"Ready","Not supplied",V33*(1-'Assumptions'!$D$70)*'Assumptions'!$D$5)</x:f>
        <x:v>0.48</x:v>
      </x:c>
      <x:c r="W34" s="82" t="n">
        <x:f>IF('Assumptions'!$D$7&lt;&gt;"Ready","Not supplied",W33*(1-'Assumptions'!$D$70)*'Assumptions'!$D$5)</x:f>
        <x:v>0.48</x:v>
      </x:c>
      <x:c r="X34" s="82" t="n">
        <x:f>IF('Assumptions'!$D$7&lt;&gt;"Ready","Not supplied",X33*(1-'Assumptions'!$D$70)*'Assumptions'!$D$5)</x:f>
        <x:v>0.48</x:v>
      </x:c>
      <x:c r="Y34" s="82" t="n">
        <x:f>IF('Assumptions'!$D$7&lt;&gt;"Ready","Not supplied",Y33*(1-'Assumptions'!$D$70)*'Assumptions'!$D$5)</x:f>
        <x:v>0.48</x:v>
      </x:c>
      <x:c r="Z34" s="82" t="n">
        <x:f>IF('Assumptions'!$D$7&lt;&gt;"Ready","Not supplied",Z33*(1-'Assumptions'!$D$70)*'Assumptions'!$D$5)</x:f>
        <x:v>0.48</x:v>
      </x:c>
      <x:c r="AA34" s="82" t="n">
        <x:f>IF('Assumptions'!$D$7&lt;&gt;"Ready","Not supplied",AA33*(1-'Assumptions'!$D$70)*'Assumptions'!$D$5)</x:f>
        <x:v>0.48</x:v>
      </x:c>
    </x:row>
    <x:row r="35" ht="21" customHeight="1">
      <x:c r="A35" s="50"/>
      <x:c r="B35" s="50"/>
      <x:c r="C35" s="50" t="str">
        <x:v>Eligible acquisition sessions</x:v>
      </x:c>
      <x:c r="D35" s="66" t="n">
        <x:f>IF('Assumptions'!$D$7&lt;&gt;"Ready","Not supplied",D11*MAX(0,1+'Assumptions'!$D$50*D34))</x:f>
        <x:v>10000</x:v>
      </x:c>
      <x:c r="E35" s="66" t="n">
        <x:f>IF('Assumptions'!$D$7&lt;&gt;"Ready","Not supplied",E11*MAX(0,1+'Assumptions'!$D$50*E34))</x:f>
        <x:v>10000</x:v>
      </x:c>
      <x:c r="F35" s="66" t="n">
        <x:f>IF('Assumptions'!$D$7&lt;&gt;"Ready","Not supplied",F11*MAX(0,1+'Assumptions'!$D$50*F34))</x:f>
        <x:v>10072.000000000002</x:v>
      </x:c>
      <x:c r="G35" s="66" t="n">
        <x:f>IF('Assumptions'!$D$7&lt;&gt;"Ready","Not supplied",G11*MAX(0,1+'Assumptions'!$D$50*G34))</x:f>
        <x:v>10144</x:v>
      </x:c>
      <x:c r="H35" s="66" t="n">
        <x:f>IF('Assumptions'!$D$7&lt;&gt;"Ready","Not supplied",H11*MAX(0,1+'Assumptions'!$D$50*H34))</x:f>
        <x:v>10216</x:v>
      </x:c>
      <x:c r="I35" s="66" t="n">
        <x:f>IF('Assumptions'!$D$7&lt;&gt;"Ready","Not supplied",I11*MAX(0,1+'Assumptions'!$D$50*I34))</x:f>
        <x:v>10288</x:v>
      </x:c>
      <x:c r="J35" s="66" t="n">
        <x:f>IF('Assumptions'!$D$7&lt;&gt;"Ready","Not supplied",J11*MAX(0,1+'Assumptions'!$D$50*J34))</x:f>
        <x:v>10288</x:v>
      </x:c>
      <x:c r="K35" s="66" t="n">
        <x:f>IF('Assumptions'!$D$7&lt;&gt;"Ready","Not supplied",K11*MAX(0,1+'Assumptions'!$D$50*K34))</x:f>
        <x:v>10288</x:v>
      </x:c>
      <x:c r="L35" s="66" t="n">
        <x:f>IF('Assumptions'!$D$7&lt;&gt;"Ready","Not supplied",L11*MAX(0,1+'Assumptions'!$D$50*L34))</x:f>
        <x:v>10288</x:v>
      </x:c>
      <x:c r="M35" s="66" t="n">
        <x:f>IF('Assumptions'!$D$7&lt;&gt;"Ready","Not supplied",M11*MAX(0,1+'Assumptions'!$D$50*M34))</x:f>
        <x:v>10288</x:v>
      </x:c>
      <x:c r="N35" s="66" t="n">
        <x:f>IF('Assumptions'!$D$7&lt;&gt;"Ready","Not supplied",N11*MAX(0,1+'Assumptions'!$D$50*N34))</x:f>
        <x:v>10288</x:v>
      </x:c>
      <x:c r="O35" s="66" t="n">
        <x:f>IF('Assumptions'!$D$7&lt;&gt;"Ready","Not supplied",O11*MAX(0,1+'Assumptions'!$D$50*O34))</x:f>
        <x:v>10288</x:v>
      </x:c>
      <x:c r="P35" s="66" t="n">
        <x:f>IF('Assumptions'!$D$7&lt;&gt;"Ready","Not supplied",P11*MAX(0,1+'Assumptions'!$D$50*P34))</x:f>
        <x:v>10288</x:v>
      </x:c>
      <x:c r="Q35" s="66" t="n">
        <x:f>IF('Assumptions'!$D$7&lt;&gt;"Ready","Not supplied",Q11*MAX(0,1+'Assumptions'!$D$50*Q34))</x:f>
        <x:v>10288</x:v>
      </x:c>
      <x:c r="R35" s="66" t="n">
        <x:f>IF('Assumptions'!$D$7&lt;&gt;"Ready","Not supplied",R11*MAX(0,1+'Assumptions'!$D$50*R34))</x:f>
        <x:v>10288</x:v>
      </x:c>
      <x:c r="S35" s="66" t="n">
        <x:f>IF('Assumptions'!$D$7&lt;&gt;"Ready","Not supplied",S11*MAX(0,1+'Assumptions'!$D$50*S34))</x:f>
        <x:v>10288</x:v>
      </x:c>
      <x:c r="T35" s="66" t="n">
        <x:f>IF('Assumptions'!$D$7&lt;&gt;"Ready","Not supplied",T11*MAX(0,1+'Assumptions'!$D$50*T34))</x:f>
        <x:v>10288</x:v>
      </x:c>
      <x:c r="U35" s="66" t="n">
        <x:f>IF('Assumptions'!$D$7&lt;&gt;"Ready","Not supplied",U11*MAX(0,1+'Assumptions'!$D$50*U34))</x:f>
        <x:v>10288</x:v>
      </x:c>
      <x:c r="V35" s="66" t="n">
        <x:f>IF('Assumptions'!$D$7&lt;&gt;"Ready","Not supplied",V11*MAX(0,1+'Assumptions'!$D$50*V34))</x:f>
        <x:v>10288</x:v>
      </x:c>
      <x:c r="W35" s="66" t="n">
        <x:f>IF('Assumptions'!$D$7&lt;&gt;"Ready","Not supplied",W11*MAX(0,1+'Assumptions'!$D$50*W34))</x:f>
        <x:v>10288</x:v>
      </x:c>
      <x:c r="X35" s="66" t="n">
        <x:f>IF('Assumptions'!$D$7&lt;&gt;"Ready","Not supplied",X11*MAX(0,1+'Assumptions'!$D$50*X34))</x:f>
        <x:v>10288</x:v>
      </x:c>
      <x:c r="Y35" s="66" t="n">
        <x:f>IF('Assumptions'!$D$7&lt;&gt;"Ready","Not supplied",Y11*MAX(0,1+'Assumptions'!$D$50*Y34))</x:f>
        <x:v>10288</x:v>
      </x:c>
      <x:c r="Z35" s="66" t="n">
        <x:f>IF('Assumptions'!$D$7&lt;&gt;"Ready","Not supplied",Z11*MAX(0,1+'Assumptions'!$D$50*Z34))</x:f>
        <x:v>10288</x:v>
      </x:c>
      <x:c r="AA35" s="66" t="n">
        <x:f>IF('Assumptions'!$D$7&lt;&gt;"Ready","Not supplied",AA11*MAX(0,1+'Assumptions'!$D$50*AA34))</x:f>
        <x:v>10288</x:v>
      </x:c>
    </x:row>
    <x:row r="36" ht="21" customHeight="1">
      <x:c r="A36" s="50"/>
      <x:c r="B36" s="50"/>
      <x:c r="C36" s="81" t="str">
        <x:v>New-buyer conversion</x:v>
      </x:c>
      <x:c r="D36" s="82" t="n">
        <x:f>IF('Assumptions'!$D$7&lt;&gt;"Ready","Not supplied",MAX(0,MIN(1,'Assumptions'!$D$15*(1+'Assumptions'!$D$55*D34))))</x:f>
        <x:v>0.02</x:v>
      </x:c>
      <x:c r="E36" s="82" t="n">
        <x:f>IF('Assumptions'!$D$7&lt;&gt;"Ready","Not supplied",MAX(0,MIN(1,'Assumptions'!$D$15*(1+'Assumptions'!$D$55*E34))))</x:f>
        <x:v>0.02</x:v>
      </x:c>
      <x:c r="F36" s="82" t="n">
        <x:f>IF('Assumptions'!$D$7&lt;&gt;"Ready","Not supplied",MAX(0,MIN(1,'Assumptions'!$D$15*(1+'Assumptions'!$D$55*F34))))</x:f>
        <x:v>0.020192</x:v>
      </x:c>
      <x:c r="G36" s="82" t="n">
        <x:f>IF('Assumptions'!$D$7&lt;&gt;"Ready","Not supplied",MAX(0,MIN(1,'Assumptions'!$D$15*(1+'Assumptions'!$D$55*G34))))</x:f>
        <x:v>0.020384000000000003</x:v>
      </x:c>
      <x:c r="H36" s="82" t="n">
        <x:f>IF('Assumptions'!$D$7&lt;&gt;"Ready","Not supplied",MAX(0,MIN(1,'Assumptions'!$D$15*(1+'Assumptions'!$D$55*H34))))</x:f>
        <x:v>0.020576</x:v>
      </x:c>
      <x:c r="I36" s="82" t="n">
        <x:f>IF('Assumptions'!$D$7&lt;&gt;"Ready","Not supplied",MAX(0,MIN(1,'Assumptions'!$D$15*(1+'Assumptions'!$D$55*I34))))</x:f>
        <x:v>0.020768000000000002</x:v>
      </x:c>
      <x:c r="J36" s="82" t="n">
        <x:f>IF('Assumptions'!$D$7&lt;&gt;"Ready","Not supplied",MAX(0,MIN(1,'Assumptions'!$D$15*(1+'Assumptions'!$D$55*J34))))</x:f>
        <x:v>0.020768000000000002</x:v>
      </x:c>
      <x:c r="K36" s="82" t="n">
        <x:f>IF('Assumptions'!$D$7&lt;&gt;"Ready","Not supplied",MAX(0,MIN(1,'Assumptions'!$D$15*(1+'Assumptions'!$D$55*K34))))</x:f>
        <x:v>0.020768000000000002</x:v>
      </x:c>
      <x:c r="L36" s="82" t="n">
        <x:f>IF('Assumptions'!$D$7&lt;&gt;"Ready","Not supplied",MAX(0,MIN(1,'Assumptions'!$D$15*(1+'Assumptions'!$D$55*L34))))</x:f>
        <x:v>0.020768000000000002</x:v>
      </x:c>
      <x:c r="M36" s="82" t="n">
        <x:f>IF('Assumptions'!$D$7&lt;&gt;"Ready","Not supplied",MAX(0,MIN(1,'Assumptions'!$D$15*(1+'Assumptions'!$D$55*M34))))</x:f>
        <x:v>0.020768000000000002</x:v>
      </x:c>
      <x:c r="N36" s="82" t="n">
        <x:f>IF('Assumptions'!$D$7&lt;&gt;"Ready","Not supplied",MAX(0,MIN(1,'Assumptions'!$D$15*(1+'Assumptions'!$D$55*N34))))</x:f>
        <x:v>0.020768000000000002</x:v>
      </x:c>
      <x:c r="O36" s="82" t="n">
        <x:f>IF('Assumptions'!$D$7&lt;&gt;"Ready","Not supplied",MAX(0,MIN(1,'Assumptions'!$D$15*(1+'Assumptions'!$D$55*O34))))</x:f>
        <x:v>0.020768000000000002</x:v>
      </x:c>
      <x:c r="P36" s="82" t="n">
        <x:f>IF('Assumptions'!$D$7&lt;&gt;"Ready","Not supplied",MAX(0,MIN(1,'Assumptions'!$D$15*(1+'Assumptions'!$D$55*P34))))</x:f>
        <x:v>0.020768000000000002</x:v>
      </x:c>
      <x:c r="Q36" s="82" t="n">
        <x:f>IF('Assumptions'!$D$7&lt;&gt;"Ready","Not supplied",MAX(0,MIN(1,'Assumptions'!$D$15*(1+'Assumptions'!$D$55*Q34))))</x:f>
        <x:v>0.020768000000000002</x:v>
      </x:c>
      <x:c r="R36" s="82" t="n">
        <x:f>IF('Assumptions'!$D$7&lt;&gt;"Ready","Not supplied",MAX(0,MIN(1,'Assumptions'!$D$15*(1+'Assumptions'!$D$55*R34))))</x:f>
        <x:v>0.020768000000000002</x:v>
      </x:c>
      <x:c r="S36" s="82" t="n">
        <x:f>IF('Assumptions'!$D$7&lt;&gt;"Ready","Not supplied",MAX(0,MIN(1,'Assumptions'!$D$15*(1+'Assumptions'!$D$55*S34))))</x:f>
        <x:v>0.020768000000000002</x:v>
      </x:c>
      <x:c r="T36" s="82" t="n">
        <x:f>IF('Assumptions'!$D$7&lt;&gt;"Ready","Not supplied",MAX(0,MIN(1,'Assumptions'!$D$15*(1+'Assumptions'!$D$55*T34))))</x:f>
        <x:v>0.020768000000000002</x:v>
      </x:c>
      <x:c r="U36" s="82" t="n">
        <x:f>IF('Assumptions'!$D$7&lt;&gt;"Ready","Not supplied",MAX(0,MIN(1,'Assumptions'!$D$15*(1+'Assumptions'!$D$55*U34))))</x:f>
        <x:v>0.020768000000000002</x:v>
      </x:c>
      <x:c r="V36" s="82" t="n">
        <x:f>IF('Assumptions'!$D$7&lt;&gt;"Ready","Not supplied",MAX(0,MIN(1,'Assumptions'!$D$15*(1+'Assumptions'!$D$55*V34))))</x:f>
        <x:v>0.020768000000000002</x:v>
      </x:c>
      <x:c r="W36" s="82" t="n">
        <x:f>IF('Assumptions'!$D$7&lt;&gt;"Ready","Not supplied",MAX(0,MIN(1,'Assumptions'!$D$15*(1+'Assumptions'!$D$55*W34))))</x:f>
        <x:v>0.020768000000000002</x:v>
      </x:c>
      <x:c r="X36" s="82" t="n">
        <x:f>IF('Assumptions'!$D$7&lt;&gt;"Ready","Not supplied",MAX(0,MIN(1,'Assumptions'!$D$15*(1+'Assumptions'!$D$55*X34))))</x:f>
        <x:v>0.020768000000000002</x:v>
      </x:c>
      <x:c r="Y36" s="82" t="n">
        <x:f>IF('Assumptions'!$D$7&lt;&gt;"Ready","Not supplied",MAX(0,MIN(1,'Assumptions'!$D$15*(1+'Assumptions'!$D$55*Y34))))</x:f>
        <x:v>0.020768000000000002</x:v>
      </x:c>
      <x:c r="Z36" s="82" t="n">
        <x:f>IF('Assumptions'!$D$7&lt;&gt;"Ready","Not supplied",MAX(0,MIN(1,'Assumptions'!$D$15*(1+'Assumptions'!$D$55*Z34))))</x:f>
        <x:v>0.020768000000000002</x:v>
      </x:c>
      <x:c r="AA36" s="82" t="n">
        <x:f>IF('Assumptions'!$D$7&lt;&gt;"Ready","Not supplied",MAX(0,MIN(1,'Assumptions'!$D$15*(1+'Assumptions'!$D$55*AA34))))</x:f>
        <x:v>0.020768000000000002</x:v>
      </x:c>
    </x:row>
    <x:row r="37" ht="21" customHeight="1">
      <x:c r="A37" s="50"/>
      <x:c r="B37" s="50"/>
      <x:c r="C37" s="50" t="str">
        <x:v>New buyers / first orders</x:v>
      </x:c>
      <x:c r="D37" s="66" t="n">
        <x:f>IF('Assumptions'!$D$7&lt;&gt;"Ready","Not supplied",D35*D36)</x:f>
        <x:v>200</x:v>
      </x:c>
      <x:c r="E37" s="66" t="n">
        <x:f>IF('Assumptions'!$D$7&lt;&gt;"Ready","Not supplied",E35*E36)</x:f>
        <x:v>200</x:v>
      </x:c>
      <x:c r="F37" s="66" t="n">
        <x:f>IF('Assumptions'!$D$7&lt;&gt;"Ready","Not supplied",F35*F36)</x:f>
        <x:v>203.37382400000004</x:v>
      </x:c>
      <x:c r="G37" s="66" t="n">
        <x:f>IF('Assumptions'!$D$7&lt;&gt;"Ready","Not supplied",G35*G36)</x:f>
        <x:v>206.77529600000003</x:v>
      </x:c>
      <x:c r="H37" s="66" t="n">
        <x:f>IF('Assumptions'!$D$7&lt;&gt;"Ready","Not supplied",H35*H36)</x:f>
        <x:v>210.204416</x:v>
      </x:c>
      <x:c r="I37" s="66" t="n">
        <x:f>IF('Assumptions'!$D$7&lt;&gt;"Ready","Not supplied",I35*I36)</x:f>
        <x:v>213.66118400000002</x:v>
      </x:c>
      <x:c r="J37" s="66" t="n">
        <x:f>IF('Assumptions'!$D$7&lt;&gt;"Ready","Not supplied",J35*J36)</x:f>
        <x:v>213.66118400000002</x:v>
      </x:c>
      <x:c r="K37" s="66" t="n">
        <x:f>IF('Assumptions'!$D$7&lt;&gt;"Ready","Not supplied",K35*K36)</x:f>
        <x:v>213.66118400000002</x:v>
      </x:c>
      <x:c r="L37" s="66" t="n">
        <x:f>IF('Assumptions'!$D$7&lt;&gt;"Ready","Not supplied",L35*L36)</x:f>
        <x:v>213.66118400000002</x:v>
      </x:c>
      <x:c r="M37" s="66" t="n">
        <x:f>IF('Assumptions'!$D$7&lt;&gt;"Ready","Not supplied",M35*M36)</x:f>
        <x:v>213.66118400000002</x:v>
      </x:c>
      <x:c r="N37" s="66" t="n">
        <x:f>IF('Assumptions'!$D$7&lt;&gt;"Ready","Not supplied",N35*N36)</x:f>
        <x:v>213.66118400000002</x:v>
      </x:c>
      <x:c r="O37" s="66" t="n">
        <x:f>IF('Assumptions'!$D$7&lt;&gt;"Ready","Not supplied",O35*O36)</x:f>
        <x:v>213.66118400000002</x:v>
      </x:c>
      <x:c r="P37" s="66" t="n">
        <x:f>IF('Assumptions'!$D$7&lt;&gt;"Ready","Not supplied",P35*P36)</x:f>
        <x:v>213.66118400000002</x:v>
      </x:c>
      <x:c r="Q37" s="66" t="n">
        <x:f>IF('Assumptions'!$D$7&lt;&gt;"Ready","Not supplied",Q35*Q36)</x:f>
        <x:v>213.66118400000002</x:v>
      </x:c>
      <x:c r="R37" s="66" t="n">
        <x:f>IF('Assumptions'!$D$7&lt;&gt;"Ready","Not supplied",R35*R36)</x:f>
        <x:v>213.66118400000002</x:v>
      </x:c>
      <x:c r="S37" s="66" t="n">
        <x:f>IF('Assumptions'!$D$7&lt;&gt;"Ready","Not supplied",S35*S36)</x:f>
        <x:v>213.66118400000002</x:v>
      </x:c>
      <x:c r="T37" s="66" t="n">
        <x:f>IF('Assumptions'!$D$7&lt;&gt;"Ready","Not supplied",T35*T36)</x:f>
        <x:v>213.66118400000002</x:v>
      </x:c>
      <x:c r="U37" s="66" t="n">
        <x:f>IF('Assumptions'!$D$7&lt;&gt;"Ready","Not supplied",U35*U36)</x:f>
        <x:v>213.66118400000002</x:v>
      </x:c>
      <x:c r="V37" s="66" t="n">
        <x:f>IF('Assumptions'!$D$7&lt;&gt;"Ready","Not supplied",V35*V36)</x:f>
        <x:v>213.66118400000002</x:v>
      </x:c>
      <x:c r="W37" s="66" t="n">
        <x:f>IF('Assumptions'!$D$7&lt;&gt;"Ready","Not supplied",W35*W36)</x:f>
        <x:v>213.66118400000002</x:v>
      </x:c>
      <x:c r="X37" s="66" t="n">
        <x:f>IF('Assumptions'!$D$7&lt;&gt;"Ready","Not supplied",X35*X36)</x:f>
        <x:v>213.66118400000002</x:v>
      </x:c>
      <x:c r="Y37" s="66" t="n">
        <x:f>IF('Assumptions'!$D$7&lt;&gt;"Ready","Not supplied",Y35*Y36)</x:f>
        <x:v>213.66118400000002</x:v>
      </x:c>
      <x:c r="Z37" s="66" t="n">
        <x:f>IF('Assumptions'!$D$7&lt;&gt;"Ready","Not supplied",Z35*Z36)</x:f>
        <x:v>213.66118400000002</x:v>
      </x:c>
      <x:c r="AA37" s="66" t="n">
        <x:f>IF('Assumptions'!$D$7&lt;&gt;"Ready","Not supplied",AA35*AA36)</x:f>
        <x:v>213.66118400000002</x:v>
      </x:c>
    </x:row>
    <x:row r="38" ht="21" customHeight="1">
      <x:c r="A38" s="50"/>
      <x:c r="B38" s="50"/>
      <x:c r="C38" s="50" t="str">
        <x:v>Opening active buyer pool</x:v>
      </x:c>
      <x:c r="D38" s="66" t="n">
        <x:f>IF('Assumptions'!$D$7&lt;&gt;"Ready","Not supplied",'Assumptions'!$D$16)</x:f>
        <x:v>1000</x:v>
      </x:c>
      <x:c r="E38" s="66" t="n">
        <x:f>IF('Assumptions'!$D$7&lt;&gt;"Ready","Not supplied",D42)</x:f>
        <x:v>1176</x:v>
      </x:c>
      <x:c r="F38" s="66" t="n">
        <x:f>IF('Assumptions'!$D$7&lt;&gt;"Ready","Not supplied",E42)</x:f>
        <x:v>1348.48</x:v>
      </x:c>
      <x:c r="G38" s="66" t="n">
        <x:f>IF('Assumptions'!$D$7&lt;&gt;"Ready","Not supplied",F42)</x:f>
        <x:v>1520.81674752</x:v>
      </x:c>
      <x:c r="H38" s="66" t="n">
        <x:f>IF('Assumptions'!$D$7&lt;&gt;"Ready","Not supplied",G42)</x:f>
        <x:v>1693.0402026496001</x:v>
      </x:c>
      <x:c r="I38" s="66" t="n">
        <x:f>IF('Assumptions'!$D$7&lt;&gt;"Ready","Not supplied",H42)</x:f>
        <x:v>1865.179726276608</x:v>
      </x:c>
      <x:c r="J38" s="66" t="n">
        <x:f>IF('Assumptions'!$D$7&lt;&gt;"Ready","Not supplied",I42)</x:f>
        <x:v>2037.264092071076</x:v>
      </x:c>
      <x:c r="K38" s="66" t="n">
        <x:f>IF('Assumptions'!$D$7&lt;&gt;"Ready","Not supplied",J42)</x:f>
        <x:v>2205.9067705496545</x:v>
      </x:c>
      <x:c r="L38" s="66" t="n">
        <x:f>IF('Assumptions'!$D$7&lt;&gt;"Ready","Not supplied",K42)</x:f>
        <x:v>2371.1765954586613</x:v>
      </x:c>
      <x:c r="M38" s="66" t="n">
        <x:f>IF('Assumptions'!$D$7&lt;&gt;"Ready","Not supplied",L42)</x:f>
        <x:v>2533.141023869488</x:v>
      </x:c>
      <x:c r="N38" s="66" t="n">
        <x:f>IF('Assumptions'!$D$7&lt;&gt;"Ready","Not supplied",M42)</x:f>
        <x:v>2691.866163712098</x:v>
      </x:c>
      <x:c r="O38" s="66" t="n">
        <x:f>IF('Assumptions'!$D$7&lt;&gt;"Ready","Not supplied",N42)</x:f>
        <x:v>2847.416800757856</x:v>
      </x:c>
      <x:c r="P38" s="66" t="n">
        <x:f>IF('Assumptions'!$D$7&lt;&gt;"Ready","Not supplied",O42)</x:f>
        <x:v>2999.8564250626987</x:v>
      </x:c>
      <x:c r="Q38" s="66" t="n">
        <x:f>IF('Assumptions'!$D$7&lt;&gt;"Ready","Not supplied",P42)</x:f>
        <x:v>3149.2472568814446</x:v>
      </x:c>
      <x:c r="R38" s="66" t="n">
        <x:f>IF('Assumptions'!$D$7&lt;&gt;"Ready","Not supplied",Q42)</x:f>
        <x:v>3295.650272063816</x:v>
      </x:c>
      <x:c r="S38" s="66" t="n">
        <x:f>IF('Assumptions'!$D$7&lt;&gt;"Ready","Not supplied",R42)</x:f>
        <x:v>3439.1252269425395</x:v>
      </x:c>
      <x:c r="T38" s="66" t="n">
        <x:f>IF('Assumptions'!$D$7&lt;&gt;"Ready","Not supplied",S42)</x:f>
        <x:v>3579.7306827236885</x:v>
      </x:c>
      <x:c r="U38" s="66" t="n">
        <x:f>IF('Assumptions'!$D$7&lt;&gt;"Ready","Not supplied",T42)</x:f>
        <x:v>3717.524029389215</x:v>
      </x:c>
      <x:c r="V38" s="66" t="n">
        <x:f>IF('Assumptions'!$D$7&lt;&gt;"Ready","Not supplied",U42)</x:f>
        <x:v>3852.5615091214304</x:v>
      </x:c>
      <x:c r="W38" s="66" t="n">
        <x:f>IF('Assumptions'!$D$7&lt;&gt;"Ready","Not supplied",V42)</x:f>
        <x:v>3984.898239259002</x:v>
      </x:c>
      <x:c r="X38" s="66" t="n">
        <x:f>IF('Assumptions'!$D$7&lt;&gt;"Ready","Not supplied",W42)</x:f>
        <x:v>4114.588234793822</x:v>
      </x:c>
      <x:c r="Y38" s="66" t="n">
        <x:f>IF('Assumptions'!$D$7&lt;&gt;"Ready","Not supplied",X42)</x:f>
        <x:v>4241.684430417945</x:v>
      </x:c>
      <x:c r="Z38" s="66" t="n">
        <x:f>IF('Assumptions'!$D$7&lt;&gt;"Ready","Not supplied",Y42)</x:f>
        <x:v>4366.238702129585</x:v>
      </x:c>
      <x:c r="AA38" s="66" t="n">
        <x:f>IF('Assumptions'!$D$7&lt;&gt;"Ready","Not supplied",Z42)</x:f>
        <x:v>4488.301888406993</x:v>
      </x:c>
    </x:row>
    <x:row r="39" ht="21" customHeight="1">
      <x:c r="A39" s="50"/>
      <x:c r="B39" s="50"/>
      <x:c r="C39" s="81" t="str">
        <x:v>Repeat order frequency</x:v>
      </x:c>
      <x:c r="D39" s="82" t="n">
        <x:f>IF('Assumptions'!$D$7&lt;&gt;"Ready","Not supplied",MAX(0,'Assumptions'!$D$17+'Assumptions'!$D$60*D34))</x:f>
        <x:v>0.04</x:v>
      </x:c>
      <x:c r="E39" s="82" t="n">
        <x:f>IF('Assumptions'!$D$7&lt;&gt;"Ready","Not supplied",MAX(0,'Assumptions'!$D$17+'Assumptions'!$D$60*E34))</x:f>
        <x:v>0.04</x:v>
      </x:c>
      <x:c r="F39" s="82" t="n">
        <x:f>IF('Assumptions'!$D$7&lt;&gt;"Ready","Not supplied",MAX(0,'Assumptions'!$D$17+'Assumptions'!$D$60*F34))</x:f>
        <x:v>0.040600000000000004</x:v>
      </x:c>
      <x:c r="G39" s="82" t="n">
        <x:f>IF('Assumptions'!$D$7&lt;&gt;"Ready","Not supplied",MAX(0,'Assumptions'!$D$17+'Assumptions'!$D$60*G34))</x:f>
        <x:v>0.0412</x:v>
      </x:c>
      <x:c r="H39" s="82" t="n">
        <x:f>IF('Assumptions'!$D$7&lt;&gt;"Ready","Not supplied",MAX(0,'Assumptions'!$D$17+'Assumptions'!$D$60*H34))</x:f>
        <x:v>0.041800000000000004</x:v>
      </x:c>
      <x:c r="I39" s="82" t="n">
        <x:f>IF('Assumptions'!$D$7&lt;&gt;"Ready","Not supplied",MAX(0,'Assumptions'!$D$17+'Assumptions'!$D$60*I34))</x:f>
        <x:v>0.0424</x:v>
      </x:c>
      <x:c r="J39" s="82" t="n">
        <x:f>IF('Assumptions'!$D$7&lt;&gt;"Ready","Not supplied",MAX(0,'Assumptions'!$D$17+'Assumptions'!$D$60*J34))</x:f>
        <x:v>0.0424</x:v>
      </x:c>
      <x:c r="K39" s="82" t="n">
        <x:f>IF('Assumptions'!$D$7&lt;&gt;"Ready","Not supplied",MAX(0,'Assumptions'!$D$17+'Assumptions'!$D$60*K34))</x:f>
        <x:v>0.0424</x:v>
      </x:c>
      <x:c r="L39" s="82" t="n">
        <x:f>IF('Assumptions'!$D$7&lt;&gt;"Ready","Not supplied",MAX(0,'Assumptions'!$D$17+'Assumptions'!$D$60*L34))</x:f>
        <x:v>0.0424</x:v>
      </x:c>
      <x:c r="M39" s="82" t="n">
        <x:f>IF('Assumptions'!$D$7&lt;&gt;"Ready","Not supplied",MAX(0,'Assumptions'!$D$17+'Assumptions'!$D$60*M34))</x:f>
        <x:v>0.0424</x:v>
      </x:c>
      <x:c r="N39" s="82" t="n">
        <x:f>IF('Assumptions'!$D$7&lt;&gt;"Ready","Not supplied",MAX(0,'Assumptions'!$D$17+'Assumptions'!$D$60*N34))</x:f>
        <x:v>0.0424</x:v>
      </x:c>
      <x:c r="O39" s="82" t="n">
        <x:f>IF('Assumptions'!$D$7&lt;&gt;"Ready","Not supplied",MAX(0,'Assumptions'!$D$17+'Assumptions'!$D$60*O34))</x:f>
        <x:v>0.0424</x:v>
      </x:c>
      <x:c r="P39" s="82" t="n">
        <x:f>IF('Assumptions'!$D$7&lt;&gt;"Ready","Not supplied",MAX(0,'Assumptions'!$D$17+'Assumptions'!$D$60*P34))</x:f>
        <x:v>0.0424</x:v>
      </x:c>
      <x:c r="Q39" s="82" t="n">
        <x:f>IF('Assumptions'!$D$7&lt;&gt;"Ready","Not supplied",MAX(0,'Assumptions'!$D$17+'Assumptions'!$D$60*Q34))</x:f>
        <x:v>0.0424</x:v>
      </x:c>
      <x:c r="R39" s="82" t="n">
        <x:f>IF('Assumptions'!$D$7&lt;&gt;"Ready","Not supplied",MAX(0,'Assumptions'!$D$17+'Assumptions'!$D$60*R34))</x:f>
        <x:v>0.0424</x:v>
      </x:c>
      <x:c r="S39" s="82" t="n">
        <x:f>IF('Assumptions'!$D$7&lt;&gt;"Ready","Not supplied",MAX(0,'Assumptions'!$D$17+'Assumptions'!$D$60*S34))</x:f>
        <x:v>0.0424</x:v>
      </x:c>
      <x:c r="T39" s="82" t="n">
        <x:f>IF('Assumptions'!$D$7&lt;&gt;"Ready","Not supplied",MAX(0,'Assumptions'!$D$17+'Assumptions'!$D$60*T34))</x:f>
        <x:v>0.0424</x:v>
      </x:c>
      <x:c r="U39" s="82" t="n">
        <x:f>IF('Assumptions'!$D$7&lt;&gt;"Ready","Not supplied",MAX(0,'Assumptions'!$D$17+'Assumptions'!$D$60*U34))</x:f>
        <x:v>0.0424</x:v>
      </x:c>
      <x:c r="V39" s="82" t="n">
        <x:f>IF('Assumptions'!$D$7&lt;&gt;"Ready","Not supplied",MAX(0,'Assumptions'!$D$17+'Assumptions'!$D$60*V34))</x:f>
        <x:v>0.0424</x:v>
      </x:c>
      <x:c r="W39" s="82" t="n">
        <x:f>IF('Assumptions'!$D$7&lt;&gt;"Ready","Not supplied",MAX(0,'Assumptions'!$D$17+'Assumptions'!$D$60*W34))</x:f>
        <x:v>0.0424</x:v>
      </x:c>
      <x:c r="X39" s="82" t="n">
        <x:f>IF('Assumptions'!$D$7&lt;&gt;"Ready","Not supplied",MAX(0,'Assumptions'!$D$17+'Assumptions'!$D$60*X34))</x:f>
        <x:v>0.0424</x:v>
      </x:c>
      <x:c r="Y39" s="82" t="n">
        <x:f>IF('Assumptions'!$D$7&lt;&gt;"Ready","Not supplied",MAX(0,'Assumptions'!$D$17+'Assumptions'!$D$60*Y34))</x:f>
        <x:v>0.0424</x:v>
      </x:c>
      <x:c r="Z39" s="82" t="n">
        <x:f>IF('Assumptions'!$D$7&lt;&gt;"Ready","Not supplied",MAX(0,'Assumptions'!$D$17+'Assumptions'!$D$60*Z34))</x:f>
        <x:v>0.0424</x:v>
      </x:c>
      <x:c r="AA39" s="82" t="n">
        <x:f>IF('Assumptions'!$D$7&lt;&gt;"Ready","Not supplied",MAX(0,'Assumptions'!$D$17+'Assumptions'!$D$60*AA34))</x:f>
        <x:v>0.0424</x:v>
      </x:c>
    </x:row>
    <x:row r="40" ht="21" customHeight="1">
      <x:c r="A40" s="50"/>
      <x:c r="B40" s="50"/>
      <x:c r="C40" s="50" t="str">
        <x:v>Repeat orders</x:v>
      </x:c>
      <x:c r="D40" s="66" t="n">
        <x:f>IF('Assumptions'!$D$7&lt;&gt;"Ready","Not supplied",D38*D39)</x:f>
        <x:v>40</x:v>
      </x:c>
      <x:c r="E40" s="66" t="n">
        <x:f>IF('Assumptions'!$D$7&lt;&gt;"Ready","Not supplied",E38*E39)</x:f>
        <x:v>47.04</x:v>
      </x:c>
      <x:c r="F40" s="66" t="n">
        <x:f>IF('Assumptions'!$D$7&lt;&gt;"Ready","Not supplied",F38*F39)</x:f>
        <x:v>54.74828800000001</x:v>
      </x:c>
      <x:c r="G40" s="66" t="n">
        <x:f>IF('Assumptions'!$D$7&lt;&gt;"Ready","Not supplied",G38*G39)</x:f>
        <x:v>62.657649997824</x:v>
      </x:c>
      <x:c r="H40" s="66" t="n">
        <x:f>IF('Assumptions'!$D$7&lt;&gt;"Ready","Not supplied",H38*H39)</x:f>
        <x:v>70.7690804707533</x:v>
      </x:c>
      <x:c r="I40" s="66" t="n">
        <x:f>IF('Assumptions'!$D$7&lt;&gt;"Ready","Not supplied",I38*I39)</x:f>
        <x:v>79.08362039412819</x:v>
      </x:c>
      <x:c r="J40" s="66" t="n">
        <x:f>IF('Assumptions'!$D$7&lt;&gt;"Ready","Not supplied",J38*J39)</x:f>
        <x:v>86.37999750381363</x:v>
      </x:c>
      <x:c r="K40" s="66" t="n">
        <x:f>IF('Assumptions'!$D$7&lt;&gt;"Ready","Not supplied",K38*K39)</x:f>
        <x:v>93.53044707130535</x:v>
      </x:c>
      <x:c r="L40" s="66" t="n">
        <x:f>IF('Assumptions'!$D$7&lt;&gt;"Ready","Not supplied",L38*L39)</x:f>
        <x:v>100.53788764744723</x:v>
      </x:c>
      <x:c r="M40" s="66" t="n">
        <x:f>IF('Assumptions'!$D$7&lt;&gt;"Ready","Not supplied",M38*M39)</x:f>
        <x:v>107.40517941206629</x:v>
      </x:c>
      <x:c r="N40" s="66" t="n">
        <x:f>IF('Assumptions'!$D$7&lt;&gt;"Ready","Not supplied",N38*N39)</x:f>
        <x:v>114.13512534139296</x:v>
      </x:c>
      <x:c r="O40" s="66" t="n">
        <x:f>IF('Assumptions'!$D$7&lt;&gt;"Ready","Not supplied",O38*O39)</x:f>
        <x:v>120.73047235213309</x:v>
      </x:c>
      <x:c r="P40" s="66" t="n">
        <x:f>IF('Assumptions'!$D$7&lt;&gt;"Ready","Not supplied",P38*P39)</x:f>
        <x:v>127.19391242265843</x:v>
      </x:c>
      <x:c r="Q40" s="66" t="n">
        <x:f>IF('Assumptions'!$D$7&lt;&gt;"Ready","Not supplied",Q38*Q39)</x:f>
        <x:v>133.52808369177325</x:v>
      </x:c>
      <x:c r="R40" s="66" t="n">
        <x:f>IF('Assumptions'!$D$7&lt;&gt;"Ready","Not supplied",R38*R39)</x:f>
        <x:v>139.73557153550578</x:v>
      </x:c>
      <x:c r="S40" s="66" t="n">
        <x:f>IF('Assumptions'!$D$7&lt;&gt;"Ready","Not supplied",S38*S39)</x:f>
        <x:v>145.81890962236366</x:v>
      </x:c>
      <x:c r="T40" s="66" t="n">
        <x:f>IF('Assumptions'!$D$7&lt;&gt;"Ready","Not supplied",T38*T39)</x:f>
        <x:v>151.7805809474844</x:v>
      </x:c>
      <x:c r="U40" s="66" t="n">
        <x:f>IF('Assumptions'!$D$7&lt;&gt;"Ready","Not supplied",U38*U39)</x:f>
        <x:v>157.6230188461027</x:v>
      </x:c>
      <x:c r="V40" s="66" t="n">
        <x:f>IF('Assumptions'!$D$7&lt;&gt;"Ready","Not supplied",V38*V39)</x:f>
        <x:v>163.34860798674865</x:v>
      </x:c>
      <x:c r="W40" s="66" t="n">
        <x:f>IF('Assumptions'!$D$7&lt;&gt;"Ready","Not supplied",W38*W39)</x:f>
        <x:v>168.9596853445817</x:v>
      </x:c>
      <x:c r="X40" s="66" t="n">
        <x:f>IF('Assumptions'!$D$7&lt;&gt;"Ready","Not supplied",X38*X39)</x:f>
        <x:v>174.45854115525808</x:v>
      </x:c>
      <x:c r="Y40" s="66" t="n">
        <x:f>IF('Assumptions'!$D$7&lt;&gt;"Ready","Not supplied",Y38*Y39)</x:f>
        <x:v>179.84741984972086</x:v>
      </x:c>
      <x:c r="Z40" s="66" t="n">
        <x:f>IF('Assumptions'!$D$7&lt;&gt;"Ready","Not supplied",Z38*Z39)</x:f>
        <x:v>185.12852097029443</x:v>
      </x:c>
      <x:c r="AA40" s="66" t="n">
        <x:f>IF('Assumptions'!$D$7&lt;&gt;"Ready","Not supplied",AA38*AA39)</x:f>
        <x:v>190.30400006845653</x:v>
      </x:c>
    </x:row>
    <x:row r="41" ht="21" customHeight="1">
      <x:c r="A41" s="50"/>
      <x:c r="B41" s="50"/>
      <x:c r="C41" s="50" t="str">
        <x:v>Total D2C orders</x:v>
      </x:c>
      <x:c r="D41" s="66" t="n">
        <x:f>IF('Assumptions'!$D$7&lt;&gt;"Ready","Not supplied",SUM(D37,D40))</x:f>
        <x:v>240</x:v>
      </x:c>
      <x:c r="E41" s="66" t="n">
        <x:f>IF('Assumptions'!$D$7&lt;&gt;"Ready","Not supplied",SUM(E37,E40))</x:f>
        <x:v>247.04</x:v>
      </x:c>
      <x:c r="F41" s="66" t="n">
        <x:f>IF('Assumptions'!$D$7&lt;&gt;"Ready","Not supplied",SUM(F37,F40))</x:f>
        <x:v>258.1221120000001</x:v>
      </x:c>
      <x:c r="G41" s="66" t="n">
        <x:f>IF('Assumptions'!$D$7&lt;&gt;"Ready","Not supplied",SUM(G37,G40))</x:f>
        <x:v>269.43294599782405</x:v>
      </x:c>
      <x:c r="H41" s="66" t="n">
        <x:f>IF('Assumptions'!$D$7&lt;&gt;"Ready","Not supplied",SUM(H37,H40))</x:f>
        <x:v>280.9734964707533</x:v>
      </x:c>
      <x:c r="I41" s="66" t="n">
        <x:f>IF('Assumptions'!$D$7&lt;&gt;"Ready","Not supplied",SUM(I37,I40))</x:f>
        <x:v>292.7448043941282</x:v>
      </x:c>
      <x:c r="J41" s="66" t="n">
        <x:f>IF('Assumptions'!$D$7&lt;&gt;"Ready","Not supplied",SUM(J37,J40))</x:f>
        <x:v>300.0411815038136</x:v>
      </x:c>
      <x:c r="K41" s="66" t="n">
        <x:f>IF('Assumptions'!$D$7&lt;&gt;"Ready","Not supplied",SUM(K37,K40))</x:f>
        <x:v>307.1916310713054</x:v>
      </x:c>
      <x:c r="L41" s="66" t="n">
        <x:f>IF('Assumptions'!$D$7&lt;&gt;"Ready","Not supplied",SUM(L37,L40))</x:f>
        <x:v>314.1990716474472</x:v>
      </x:c>
      <x:c r="M41" s="66" t="n">
        <x:f>IF('Assumptions'!$D$7&lt;&gt;"Ready","Not supplied",SUM(M37,M40))</x:f>
        <x:v>321.0663634120663</x:v>
      </x:c>
      <x:c r="N41" s="66" t="n">
        <x:f>IF('Assumptions'!$D$7&lt;&gt;"Ready","Not supplied",SUM(N37,N40))</x:f>
        <x:v>327.796309341393</x:v>
      </x:c>
      <x:c r="O41" s="66" t="n">
        <x:f>IF('Assumptions'!$D$7&lt;&gt;"Ready","Not supplied",SUM(O37,O40))</x:f>
        <x:v>334.3916563521331</x:v>
      </x:c>
      <x:c r="P41" s="66" t="n">
        <x:f>IF('Assumptions'!$D$7&lt;&gt;"Ready","Not supplied",SUM(P37,P40))</x:f>
        <x:v>340.85509642265845</x:v>
      </x:c>
      <x:c r="Q41" s="66" t="n">
        <x:f>IF('Assumptions'!$D$7&lt;&gt;"Ready","Not supplied",SUM(Q37,Q40))</x:f>
        <x:v>347.18926769177324</x:v>
      </x:c>
      <x:c r="R41" s="66" t="n">
        <x:f>IF('Assumptions'!$D$7&lt;&gt;"Ready","Not supplied",SUM(R37,R40))</x:f>
        <x:v>353.3967555355058</x:v>
      </x:c>
      <x:c r="S41" s="66" t="n">
        <x:f>IF('Assumptions'!$D$7&lt;&gt;"Ready","Not supplied",SUM(S37,S40))</x:f>
        <x:v>359.4800936223637</x:v>
      </x:c>
      <x:c r="T41" s="66" t="n">
        <x:f>IF('Assumptions'!$D$7&lt;&gt;"Ready","Not supplied",SUM(T37,T40))</x:f>
        <x:v>365.44176494748444</x:v>
      </x:c>
      <x:c r="U41" s="66" t="n">
        <x:f>IF('Assumptions'!$D$7&lt;&gt;"Ready","Not supplied",SUM(U37,U40))</x:f>
        <x:v>371.28420284610274</x:v>
      </x:c>
      <x:c r="V41" s="66" t="n">
        <x:f>IF('Assumptions'!$D$7&lt;&gt;"Ready","Not supplied",SUM(V37,V40))</x:f>
        <x:v>377.00979198674867</x:v>
      </x:c>
      <x:c r="W41" s="66" t="n">
        <x:f>IF('Assumptions'!$D$7&lt;&gt;"Ready","Not supplied",SUM(W37,W40))</x:f>
        <x:v>382.6208693445817</x:v>
      </x:c>
      <x:c r="X41" s="66" t="n">
        <x:f>IF('Assumptions'!$D$7&lt;&gt;"Ready","Not supplied",SUM(X37,X40))</x:f>
        <x:v>388.1197251552581</x:v>
      </x:c>
      <x:c r="Y41" s="66" t="n">
        <x:f>IF('Assumptions'!$D$7&lt;&gt;"Ready","Not supplied",SUM(Y37,Y40))</x:f>
        <x:v>393.5086038497209</x:v>
      </x:c>
      <x:c r="Z41" s="66" t="n">
        <x:f>IF('Assumptions'!$D$7&lt;&gt;"Ready","Not supplied",SUM(Z37,Z40))</x:f>
        <x:v>398.78970497029445</x:v>
      </x:c>
      <x:c r="AA41" s="66" t="n">
        <x:f>IF('Assumptions'!$D$7&lt;&gt;"Ready","Not supplied",SUM(AA37,AA40))</x:f>
        <x:v>403.96518406845655</x:v>
      </x:c>
    </x:row>
    <x:row r="42" ht="21" customHeight="1">
      <x:c r="A42" s="50"/>
      <x:c r="B42" s="50"/>
      <x:c r="C42" s="50" t="str">
        <x:v>Closing active buyer pool</x:v>
      </x:c>
      <x:c r="D42" s="66" t="n">
        <x:f>IF('Assumptions'!$D$7&lt;&gt;"Ready","Not supplied",SUM(D38,D37)*(1-'Assumptions'!$D$18))</x:f>
        <x:v>1176</x:v>
      </x:c>
      <x:c r="E42" s="66" t="n">
        <x:f>IF('Assumptions'!$D$7&lt;&gt;"Ready","Not supplied",SUM(E38,E37)*(1-'Assumptions'!$D$18))</x:f>
        <x:v>1348.48</x:v>
      </x:c>
      <x:c r="F42" s="66" t="n">
        <x:f>IF('Assumptions'!$D$7&lt;&gt;"Ready","Not supplied",SUM(F38,F37)*(1-'Assumptions'!$D$18))</x:f>
        <x:v>1520.81674752</x:v>
      </x:c>
      <x:c r="G42" s="66" t="n">
        <x:f>IF('Assumptions'!$D$7&lt;&gt;"Ready","Not supplied",SUM(G38,G37)*(1-'Assumptions'!$D$18))</x:f>
        <x:v>1693.0402026496001</x:v>
      </x:c>
      <x:c r="H42" s="66" t="n">
        <x:f>IF('Assumptions'!$D$7&lt;&gt;"Ready","Not supplied",SUM(H38,H37)*(1-'Assumptions'!$D$18))</x:f>
        <x:v>1865.179726276608</x:v>
      </x:c>
      <x:c r="I42" s="66" t="n">
        <x:f>IF('Assumptions'!$D$7&lt;&gt;"Ready","Not supplied",SUM(I38,I37)*(1-'Assumptions'!$D$18))</x:f>
        <x:v>2037.264092071076</x:v>
      </x:c>
      <x:c r="J42" s="66" t="n">
        <x:f>IF('Assumptions'!$D$7&lt;&gt;"Ready","Not supplied",SUM(J38,J37)*(1-'Assumptions'!$D$18))</x:f>
        <x:v>2205.9067705496545</x:v>
      </x:c>
      <x:c r="K42" s="66" t="n">
        <x:f>IF('Assumptions'!$D$7&lt;&gt;"Ready","Not supplied",SUM(K38,K37)*(1-'Assumptions'!$D$18))</x:f>
        <x:v>2371.1765954586613</x:v>
      </x:c>
      <x:c r="L42" s="66" t="n">
        <x:f>IF('Assumptions'!$D$7&lt;&gt;"Ready","Not supplied",SUM(L38,L37)*(1-'Assumptions'!$D$18))</x:f>
        <x:v>2533.141023869488</x:v>
      </x:c>
      <x:c r="M42" s="66" t="n">
        <x:f>IF('Assumptions'!$D$7&lt;&gt;"Ready","Not supplied",SUM(M38,M37)*(1-'Assumptions'!$D$18))</x:f>
        <x:v>2691.866163712098</x:v>
      </x:c>
      <x:c r="N42" s="66" t="n">
        <x:f>IF('Assumptions'!$D$7&lt;&gt;"Ready","Not supplied",SUM(N38,N37)*(1-'Assumptions'!$D$18))</x:f>
        <x:v>2847.416800757856</x:v>
      </x:c>
      <x:c r="O42" s="66" t="n">
        <x:f>IF('Assumptions'!$D$7&lt;&gt;"Ready","Not supplied",SUM(O38,O37)*(1-'Assumptions'!$D$18))</x:f>
        <x:v>2999.8564250626987</x:v>
      </x:c>
      <x:c r="P42" s="66" t="n">
        <x:f>IF('Assumptions'!$D$7&lt;&gt;"Ready","Not supplied",SUM(P38,P37)*(1-'Assumptions'!$D$18))</x:f>
        <x:v>3149.2472568814446</x:v>
      </x:c>
      <x:c r="Q42" s="66" t="n">
        <x:f>IF('Assumptions'!$D$7&lt;&gt;"Ready","Not supplied",SUM(Q38,Q37)*(1-'Assumptions'!$D$18))</x:f>
        <x:v>3295.650272063816</x:v>
      </x:c>
      <x:c r="R42" s="66" t="n">
        <x:f>IF('Assumptions'!$D$7&lt;&gt;"Ready","Not supplied",SUM(R38,R37)*(1-'Assumptions'!$D$18))</x:f>
        <x:v>3439.1252269425395</x:v>
      </x:c>
      <x:c r="S42" s="66" t="n">
        <x:f>IF('Assumptions'!$D$7&lt;&gt;"Ready","Not supplied",SUM(S38,S37)*(1-'Assumptions'!$D$18))</x:f>
        <x:v>3579.7306827236885</x:v>
      </x:c>
      <x:c r="T42" s="66" t="n">
        <x:f>IF('Assumptions'!$D$7&lt;&gt;"Ready","Not supplied",SUM(T38,T37)*(1-'Assumptions'!$D$18))</x:f>
        <x:v>3717.524029389215</x:v>
      </x:c>
      <x:c r="U42" s="66" t="n">
        <x:f>IF('Assumptions'!$D$7&lt;&gt;"Ready","Not supplied",SUM(U38,U37)*(1-'Assumptions'!$D$18))</x:f>
        <x:v>3852.5615091214304</x:v>
      </x:c>
      <x:c r="V42" s="66" t="n">
        <x:f>IF('Assumptions'!$D$7&lt;&gt;"Ready","Not supplied",SUM(V38,V37)*(1-'Assumptions'!$D$18))</x:f>
        <x:v>3984.898239259002</x:v>
      </x:c>
      <x:c r="W42" s="66" t="n">
        <x:f>IF('Assumptions'!$D$7&lt;&gt;"Ready","Not supplied",SUM(W38,W37)*(1-'Assumptions'!$D$18))</x:f>
        <x:v>4114.588234793822</x:v>
      </x:c>
      <x:c r="X42" s="66" t="n">
        <x:f>IF('Assumptions'!$D$7&lt;&gt;"Ready","Not supplied",SUM(X38,X37)*(1-'Assumptions'!$D$18))</x:f>
        <x:v>4241.684430417945</x:v>
      </x:c>
      <x:c r="Y42" s="66" t="n">
        <x:f>IF('Assumptions'!$D$7&lt;&gt;"Ready","Not supplied",SUM(Y38,Y37)*(1-'Assumptions'!$D$18))</x:f>
        <x:v>4366.238702129585</x:v>
      </x:c>
      <x:c r="Z42" s="66" t="n">
        <x:f>IF('Assumptions'!$D$7&lt;&gt;"Ready","Not supplied",SUM(Z38,Z37)*(1-'Assumptions'!$D$18))</x:f>
        <x:v>4488.301888406993</x:v>
      </x:c>
      <x:c r="AA42" s="66" t="n">
        <x:f>IF('Assumptions'!$D$7&lt;&gt;"Ready","Not supplied",SUM(AA38,AA37)*(1-'Assumptions'!$D$18))</x:f>
        <x:v>4607.923810958853</x:v>
      </x:c>
    </x:row>
    <x:row r="43" ht="21" customHeight="1">
      <x:c r="A43" s="50"/>
      <x:c r="B43" s="50"/>
      <x:c r="C43" s="50" t="str">
        <x:v>D2C basket</x:v>
      </x:c>
      <x:c r="D43" s="66" t="n">
        <x:f>IF('Assumptions'!$D$7&lt;&gt;"Ready","Not supplied",'Assumptions'!$D$19*MAX(0,1+'Assumptions'!$D$65*D34))</x:f>
        <x:v>80</x:v>
      </x:c>
      <x:c r="E43" s="66" t="n">
        <x:f>IF('Assumptions'!$D$7&lt;&gt;"Ready","Not supplied",'Assumptions'!$D$19*MAX(0,1+'Assumptions'!$D$65*E34))</x:f>
        <x:v>80</x:v>
      </x:c>
      <x:c r="F43" s="66" t="n">
        <x:f>IF('Assumptions'!$D$7&lt;&gt;"Ready","Not supplied",'Assumptions'!$D$19*MAX(0,1+'Assumptions'!$D$65*F34))</x:f>
        <x:v>80.192</x:v>
      </x:c>
      <x:c r="G43" s="66" t="n">
        <x:f>IF('Assumptions'!$D$7&lt;&gt;"Ready","Not supplied",'Assumptions'!$D$19*MAX(0,1+'Assumptions'!$D$65*G34))</x:f>
        <x:v>80.38399999999999</x:v>
      </x:c>
      <x:c r="H43" s="66" t="n">
        <x:f>IF('Assumptions'!$D$7&lt;&gt;"Ready","Not supplied",'Assumptions'!$D$19*MAX(0,1+'Assumptions'!$D$65*H34))</x:f>
        <x:v>80.57600000000001</x:v>
      </x:c>
      <x:c r="I43" s="66" t="n">
        <x:f>IF('Assumptions'!$D$7&lt;&gt;"Ready","Not supplied",'Assumptions'!$D$19*MAX(0,1+'Assumptions'!$D$65*I34))</x:f>
        <x:v>80.768</x:v>
      </x:c>
      <x:c r="J43" s="66" t="n">
        <x:f>IF('Assumptions'!$D$7&lt;&gt;"Ready","Not supplied",'Assumptions'!$D$19*MAX(0,1+'Assumptions'!$D$65*J34))</x:f>
        <x:v>80.768</x:v>
      </x:c>
      <x:c r="K43" s="66" t="n">
        <x:f>IF('Assumptions'!$D$7&lt;&gt;"Ready","Not supplied",'Assumptions'!$D$19*MAX(0,1+'Assumptions'!$D$65*K34))</x:f>
        <x:v>80.768</x:v>
      </x:c>
      <x:c r="L43" s="66" t="n">
        <x:f>IF('Assumptions'!$D$7&lt;&gt;"Ready","Not supplied",'Assumptions'!$D$19*MAX(0,1+'Assumptions'!$D$65*L34))</x:f>
        <x:v>80.768</x:v>
      </x:c>
      <x:c r="M43" s="66" t="n">
        <x:f>IF('Assumptions'!$D$7&lt;&gt;"Ready","Not supplied",'Assumptions'!$D$19*MAX(0,1+'Assumptions'!$D$65*M34))</x:f>
        <x:v>80.768</x:v>
      </x:c>
      <x:c r="N43" s="66" t="n">
        <x:f>IF('Assumptions'!$D$7&lt;&gt;"Ready","Not supplied",'Assumptions'!$D$19*MAX(0,1+'Assumptions'!$D$65*N34))</x:f>
        <x:v>80.768</x:v>
      </x:c>
      <x:c r="O43" s="66" t="n">
        <x:f>IF('Assumptions'!$D$7&lt;&gt;"Ready","Not supplied",'Assumptions'!$D$19*MAX(0,1+'Assumptions'!$D$65*O34))</x:f>
        <x:v>80.768</x:v>
      </x:c>
      <x:c r="P43" s="66" t="n">
        <x:f>IF('Assumptions'!$D$7&lt;&gt;"Ready","Not supplied",'Assumptions'!$D$19*MAX(0,1+'Assumptions'!$D$65*P34))</x:f>
        <x:v>80.768</x:v>
      </x:c>
      <x:c r="Q43" s="66" t="n">
        <x:f>IF('Assumptions'!$D$7&lt;&gt;"Ready","Not supplied",'Assumptions'!$D$19*MAX(0,1+'Assumptions'!$D$65*Q34))</x:f>
        <x:v>80.768</x:v>
      </x:c>
      <x:c r="R43" s="66" t="n">
        <x:f>IF('Assumptions'!$D$7&lt;&gt;"Ready","Not supplied",'Assumptions'!$D$19*MAX(0,1+'Assumptions'!$D$65*R34))</x:f>
        <x:v>80.768</x:v>
      </x:c>
      <x:c r="S43" s="66" t="n">
        <x:f>IF('Assumptions'!$D$7&lt;&gt;"Ready","Not supplied",'Assumptions'!$D$19*MAX(0,1+'Assumptions'!$D$65*S34))</x:f>
        <x:v>80.768</x:v>
      </x:c>
      <x:c r="T43" s="66" t="n">
        <x:f>IF('Assumptions'!$D$7&lt;&gt;"Ready","Not supplied",'Assumptions'!$D$19*MAX(0,1+'Assumptions'!$D$65*T34))</x:f>
        <x:v>80.768</x:v>
      </x:c>
      <x:c r="U43" s="66" t="n">
        <x:f>IF('Assumptions'!$D$7&lt;&gt;"Ready","Not supplied",'Assumptions'!$D$19*MAX(0,1+'Assumptions'!$D$65*U34))</x:f>
        <x:v>80.768</x:v>
      </x:c>
      <x:c r="V43" s="66" t="n">
        <x:f>IF('Assumptions'!$D$7&lt;&gt;"Ready","Not supplied",'Assumptions'!$D$19*MAX(0,1+'Assumptions'!$D$65*V34))</x:f>
        <x:v>80.768</x:v>
      </x:c>
      <x:c r="W43" s="66" t="n">
        <x:f>IF('Assumptions'!$D$7&lt;&gt;"Ready","Not supplied",'Assumptions'!$D$19*MAX(0,1+'Assumptions'!$D$65*W34))</x:f>
        <x:v>80.768</x:v>
      </x:c>
      <x:c r="X43" s="66" t="n">
        <x:f>IF('Assumptions'!$D$7&lt;&gt;"Ready","Not supplied",'Assumptions'!$D$19*MAX(0,1+'Assumptions'!$D$65*X34))</x:f>
        <x:v>80.768</x:v>
      </x:c>
      <x:c r="Y43" s="66" t="n">
        <x:f>IF('Assumptions'!$D$7&lt;&gt;"Ready","Not supplied",'Assumptions'!$D$19*MAX(0,1+'Assumptions'!$D$65*Y34))</x:f>
        <x:v>80.768</x:v>
      </x:c>
      <x:c r="Z43" s="66" t="n">
        <x:f>IF('Assumptions'!$D$7&lt;&gt;"Ready","Not supplied",'Assumptions'!$D$19*MAX(0,1+'Assumptions'!$D$65*Z34))</x:f>
        <x:v>80.768</x:v>
      </x:c>
      <x:c r="AA43" s="66" t="n">
        <x:f>IF('Assumptions'!$D$7&lt;&gt;"Ready","Not supplied",'Assumptions'!$D$19*MAX(0,1+'Assumptions'!$D$65*AA34))</x:f>
        <x:v>80.768</x:v>
      </x:c>
    </x:row>
    <x:row r="44" ht="21" customHeight="1">
      <x:c r="A44" s="50"/>
      <x:c r="B44" s="50"/>
      <x:c r="C44" s="50" t="str">
        <x:v>Gross D2C merchandise</x:v>
      </x:c>
      <x:c r="D44" s="66" t="n">
        <x:f>IF('Assumptions'!$D$7&lt;&gt;"Ready","Not supplied",D41*D43)</x:f>
        <x:v>19200</x:v>
      </x:c>
      <x:c r="E44" s="66" t="n">
        <x:f>IF('Assumptions'!$D$7&lt;&gt;"Ready","Not supplied",E41*E43)</x:f>
        <x:v>19763.2</x:v>
      </x:c>
      <x:c r="F44" s="66" t="n">
        <x:f>IF('Assumptions'!$D$7&lt;&gt;"Ready","Not supplied",F41*F43)</x:f>
        <x:v>20699.328405504006</x:v>
      </x:c>
      <x:c r="G44" s="66" t="n">
        <x:f>IF('Assumptions'!$D$7&lt;&gt;"Ready","Not supplied",G41*G43)</x:f>
        <x:v>21658.097931089083</x:v>
      </x:c>
      <x:c r="H44" s="66" t="n">
        <x:f>IF('Assumptions'!$D$7&lt;&gt;"Ready","Not supplied",H41*H43)</x:f>
        <x:v>22639.720451627418</x:v>
      </x:c>
      <x:c r="I44" s="66" t="n">
        <x:f>IF('Assumptions'!$D$7&lt;&gt;"Ready","Not supplied",I41*I43)</x:f>
        <x:v>23644.41236130495</x:v>
      </x:c>
      <x:c r="J44" s="66" t="n">
        <x:f>IF('Assumptions'!$D$7&lt;&gt;"Ready","Not supplied",J41*J43)</x:f>
        <x:v>24233.726147700017</x:v>
      </x:c>
      <x:c r="K44" s="66" t="n">
        <x:f>IF('Assumptions'!$D$7&lt;&gt;"Ready","Not supplied",K41*K43)</x:f>
        <x:v>24811.253658367194</x:v>
      </x:c>
      <x:c r="L44" s="66" t="n">
        <x:f>IF('Assumptions'!$D$7&lt;&gt;"Ready","Not supplied",L41*L43)</x:f>
        <x:v>25377.230618821017</x:v>
      </x:c>
      <x:c r="M44" s="66" t="n">
        <x:f>IF('Assumptions'!$D$7&lt;&gt;"Ready","Not supplied",M41*M43)</x:f>
        <x:v>25931.888040065773</x:v>
      </x:c>
      <x:c r="N44" s="66" t="n">
        <x:f>IF('Assumptions'!$D$7&lt;&gt;"Ready","Not supplied",N41*N43)</x:f>
        <x:v>26475.45231288563</x:v>
      </x:c>
      <x:c r="O44" s="66" t="n">
        <x:f>IF('Assumptions'!$D$7&lt;&gt;"Ready","Not supplied",O41*O43)</x:f>
        <x:v>27008.14530024909</x:v>
      </x:c>
      <x:c r="P44" s="66" t="n">
        <x:f>IF('Assumptions'!$D$7&lt;&gt;"Ready","Not supplied",P41*P43)</x:f>
        <x:v>27530.18442786528</x:v>
      </x:c>
      <x:c r="Q44" s="66" t="n">
        <x:f>IF('Assumptions'!$D$7&lt;&gt;"Ready","Not supplied",Q41*Q43)</x:f>
        <x:v>28041.782772929142</x:v>
      </x:c>
      <x:c r="R44" s="66" t="n">
        <x:f>IF('Assumptions'!$D$7&lt;&gt;"Ready","Not supplied",R41*R43)</x:f>
        <x:v>28543.149151091733</x:v>
      </x:c>
      <x:c r="S44" s="66" t="n">
        <x:f>IF('Assumptions'!$D$7&lt;&gt;"Ready","Not supplied",S41*S43)</x:f>
        <x:v>29034.488201691074</x:v>
      </x:c>
      <x:c r="T44" s="66" t="n">
        <x:f>IF('Assumptions'!$D$7&lt;&gt;"Ready","Not supplied",T41*T43)</x:f>
        <x:v>29516.000471278425</x:v>
      </x:c>
      <x:c r="U44" s="66" t="n">
        <x:f>IF('Assumptions'!$D$7&lt;&gt;"Ready","Not supplied",U41*U43)</x:f>
        <x:v>29987.882495474027</x:v>
      </x:c>
      <x:c r="V44" s="66" t="n">
        <x:f>IF('Assumptions'!$D$7&lt;&gt;"Ready","Not supplied",V41*V43)</x:f>
        <x:v>30450.326879185715</x:v>
      </x:c>
      <x:c r="W44" s="66" t="n">
        <x:f>IF('Assumptions'!$D$7&lt;&gt;"Ready","Not supplied",W41*W43)</x:f>
        <x:v>30903.522375223176</x:v>
      </x:c>
      <x:c r="X44" s="66" t="n">
        <x:f>IF('Assumptions'!$D$7&lt;&gt;"Ready","Not supplied",X41*X43)</x:f>
        <x:v>31347.653961339885</x:v>
      </x:c>
      <x:c r="Y44" s="66" t="n">
        <x:f>IF('Assumptions'!$D$7&lt;&gt;"Ready","Not supplied",Y41*Y43)</x:f>
        <x:v>31782.902915734256</x:v>
      </x:c>
      <x:c r="Z44" s="66" t="n">
        <x:f>IF('Assumptions'!$D$7&lt;&gt;"Ready","Not supplied",Z41*Z43)</x:f>
        <x:v>32209.44689104074</x:v>
      </x:c>
      <x:c r="AA44" s="66" t="n">
        <x:f>IF('Assumptions'!$D$7&lt;&gt;"Ready","Not supplied",AA41*AA43)</x:f>
        <x:v>32627.4599868411</x:v>
      </x:c>
    </x:row>
    <x:row r="45" ht="21" customHeight="1">
      <x:c r="A45" s="50"/>
      <x:c r="B45" s="50"/>
      <x:c r="C45" s="50" t="str">
        <x:v>Refunds</x:v>
      </x:c>
      <x:c r="D45" s="66" t="n">
        <x:f>IF('Assumptions'!$D$7&lt;&gt;"Ready","Not supplied",D44*'Assumptions'!$D$20)</x:f>
        <x:v>768</x:v>
      </x:c>
      <x:c r="E45" s="66" t="n">
        <x:f>IF('Assumptions'!$D$7&lt;&gt;"Ready","Not supplied",E44*'Assumptions'!$D$20)</x:f>
        <x:v>790.528</x:v>
      </x:c>
      <x:c r="F45" s="66" t="n">
        <x:f>IF('Assumptions'!$D$7&lt;&gt;"Ready","Not supplied",F44*'Assumptions'!$D$20)</x:f>
        <x:v>827.9731362201602</x:v>
      </x:c>
      <x:c r="G45" s="66" t="n">
        <x:f>IF('Assumptions'!$D$7&lt;&gt;"Ready","Not supplied",G44*'Assumptions'!$D$20)</x:f>
        <x:v>866.3239172435633</x:v>
      </x:c>
      <x:c r="H45" s="66" t="n">
        <x:f>IF('Assumptions'!$D$7&lt;&gt;"Ready","Not supplied",H44*'Assumptions'!$D$20)</x:f>
        <x:v>905.5888180650967</x:v>
      </x:c>
      <x:c r="I45" s="66" t="n">
        <x:f>IF('Assumptions'!$D$7&lt;&gt;"Ready","Not supplied",I44*'Assumptions'!$D$20)</x:f>
        <x:v>945.776494452198</x:v>
      </x:c>
      <x:c r="J45" s="66" t="n">
        <x:f>IF('Assumptions'!$D$7&lt;&gt;"Ready","Not supplied",J44*'Assumptions'!$D$20)</x:f>
        <x:v>969.3490459080007</x:v>
      </x:c>
      <x:c r="K45" s="66" t="n">
        <x:f>IF('Assumptions'!$D$7&lt;&gt;"Ready","Not supplied",K44*'Assumptions'!$D$20)</x:f>
        <x:v>992.4501463346878</x:v>
      </x:c>
      <x:c r="L45" s="66" t="n">
        <x:f>IF('Assumptions'!$D$7&lt;&gt;"Ready","Not supplied",L44*'Assumptions'!$D$20)</x:f>
        <x:v>1015.0892247528407</x:v>
      </x:c>
      <x:c r="M45" s="66" t="n">
        <x:f>IF('Assumptions'!$D$7&lt;&gt;"Ready","Not supplied",M44*'Assumptions'!$D$20)</x:f>
        <x:v>1037.275521602631</x:v>
      </x:c>
      <x:c r="N45" s="66" t="n">
        <x:f>IF('Assumptions'!$D$7&lt;&gt;"Ready","Not supplied",N44*'Assumptions'!$D$20)</x:f>
        <x:v>1059.0180925154252</x:v>
      </x:c>
      <x:c r="O45" s="66" t="n">
        <x:f>IF('Assumptions'!$D$7&lt;&gt;"Ready","Not supplied",O44*'Assumptions'!$D$20)</x:f>
        <x:v>1080.3258120099636</x:v>
      </x:c>
      <x:c r="P45" s="66" t="n">
        <x:f>IF('Assumptions'!$D$7&lt;&gt;"Ready","Not supplied",P44*'Assumptions'!$D$20)</x:f>
        <x:v>1101.2073771146113</x:v>
      </x:c>
      <x:c r="Q45" s="66" t="n">
        <x:f>IF('Assumptions'!$D$7&lt;&gt;"Ready","Not supplied",Q44*'Assumptions'!$D$20)</x:f>
        <x:v>1121.6713109171658</x:v>
      </x:c>
      <x:c r="R45" s="66" t="n">
        <x:f>IF('Assumptions'!$D$7&lt;&gt;"Ready","Not supplied",R44*'Assumptions'!$D$20)</x:f>
        <x:v>1141.7259660436694</x:v>
      </x:c>
      <x:c r="S45" s="66" t="n">
        <x:f>IF('Assumptions'!$D$7&lt;&gt;"Ready","Not supplied",S44*'Assumptions'!$D$20)</x:f>
        <x:v>1161.379528067643</x:v>
      </x:c>
      <x:c r="T45" s="66" t="n">
        <x:f>IF('Assumptions'!$D$7&lt;&gt;"Ready","Not supplied",T44*'Assumptions'!$D$20)</x:f>
        <x:v>1180.640018851137</x:v>
      </x:c>
      <x:c r="U45" s="66" t="n">
        <x:f>IF('Assumptions'!$D$7&lt;&gt;"Ready","Not supplied",U44*'Assumptions'!$D$20)</x:f>
        <x:v>1199.515299818961</x:v>
      </x:c>
      <x:c r="V45" s="66" t="n">
        <x:f>IF('Assumptions'!$D$7&lt;&gt;"Ready","Not supplied",V44*'Assumptions'!$D$20)</x:f>
        <x:v>1218.0130751674287</x:v>
      </x:c>
      <x:c r="W45" s="66" t="n">
        <x:f>IF('Assumptions'!$D$7&lt;&gt;"Ready","Not supplied",W44*'Assumptions'!$D$20)</x:f>
        <x:v>1236.1408950089271</x:v>
      </x:c>
      <x:c r="X45" s="66" t="n">
        <x:f>IF('Assumptions'!$D$7&lt;&gt;"Ready","Not supplied",X44*'Assumptions'!$D$20)</x:f>
        <x:v>1253.9061584535955</x:v>
      </x:c>
      <x:c r="Y45" s="66" t="n">
        <x:f>IF('Assumptions'!$D$7&lt;&gt;"Ready","Not supplied",Y44*'Assumptions'!$D$20)</x:f>
        <x:v>1271.3161166293703</x:v>
      </x:c>
      <x:c r="Z45" s="66" t="n">
        <x:f>IF('Assumptions'!$D$7&lt;&gt;"Ready","Not supplied",Z44*'Assumptions'!$D$20)</x:f>
        <x:v>1288.3778756416298</x:v>
      </x:c>
      <x:c r="AA45" s="66" t="n">
        <x:f>IF('Assumptions'!$D$7&lt;&gt;"Ready","Not supplied",AA44*'Assumptions'!$D$20)</x:f>
        <x:v>1305.098399473644</x:v>
      </x:c>
    </x:row>
    <x:row r="46" ht="21" customHeight="1">
      <x:c r="A46" s="50"/>
      <x:c r="B46" s="50"/>
      <x:c r="C46" s="50" t="str">
        <x:v>D2C net sales</x:v>
      </x:c>
      <x:c r="D46" s="66" t="n">
        <x:f>IF('Assumptions'!$D$7&lt;&gt;"Ready","Not supplied",D44-D45)</x:f>
        <x:v>18432</x:v>
      </x:c>
      <x:c r="E46" s="66" t="n">
        <x:f>IF('Assumptions'!$D$7&lt;&gt;"Ready","Not supplied",E44-E45)</x:f>
        <x:v>18972.672000000002</x:v>
      </x:c>
      <x:c r="F46" s="66" t="n">
        <x:f>IF('Assumptions'!$D$7&lt;&gt;"Ready","Not supplied",F44-F45)</x:f>
        <x:v>19871.355269283846</x:v>
      </x:c>
      <x:c r="G46" s="66" t="n">
        <x:f>IF('Assumptions'!$D$7&lt;&gt;"Ready","Not supplied",G44-G45)</x:f>
        <x:v>20791.77401384552</x:v>
      </x:c>
      <x:c r="H46" s="66" t="n">
        <x:f>IF('Assumptions'!$D$7&lt;&gt;"Ready","Not supplied",H44-H45)</x:f>
        <x:v>21734.13163356232</x:v>
      </x:c>
      <x:c r="I46" s="66" t="n">
        <x:f>IF('Assumptions'!$D$7&lt;&gt;"Ready","Not supplied",I44-I45)</x:f>
        <x:v>22698.63586685275</x:v>
      </x:c>
      <x:c r="J46" s="66" t="n">
        <x:f>IF('Assumptions'!$D$7&lt;&gt;"Ready","Not supplied",J44-J45)</x:f>
        <x:v>23264.377101792015</x:v>
      </x:c>
      <x:c r="K46" s="66" t="n">
        <x:f>IF('Assumptions'!$D$7&lt;&gt;"Ready","Not supplied",K44-K45)</x:f>
        <x:v>23818.803512032508</x:v>
      </x:c>
      <x:c r="L46" s="66" t="n">
        <x:f>IF('Assumptions'!$D$7&lt;&gt;"Ready","Not supplied",L44-L45)</x:f>
        <x:v>24362.141394068178</x:v>
      </x:c>
      <x:c r="M46" s="66" t="n">
        <x:f>IF('Assumptions'!$D$7&lt;&gt;"Ready","Not supplied",M44-M45)</x:f>
        <x:v>24894.612518463142</x:v>
      </x:c>
      <x:c r="N46" s="66" t="n">
        <x:f>IF('Assumptions'!$D$7&lt;&gt;"Ready","Not supplied",N44-N45)</x:f>
        <x:v>25416.434220370207</x:v>
      </x:c>
      <x:c r="O46" s="66" t="n">
        <x:f>IF('Assumptions'!$D$7&lt;&gt;"Ready","Not supplied",O44-O45)</x:f>
        <x:v>25927.819488239125</x:v>
      </x:c>
      <x:c r="P46" s="66" t="n">
        <x:f>IF('Assumptions'!$D$7&lt;&gt;"Ready","Not supplied",P44-P45)</x:f>
        <x:v>26428.97705075067</x:v>
      </x:c>
      <x:c r="Q46" s="66" t="n">
        <x:f>IF('Assumptions'!$D$7&lt;&gt;"Ready","Not supplied",Q44-Q45)</x:f>
        <x:v>26920.111462011977</x:v>
      </x:c>
      <x:c r="R46" s="66" t="n">
        <x:f>IF('Assumptions'!$D$7&lt;&gt;"Ready","Not supplied",R44-R45)</x:f>
        <x:v>27401.423185048065</x:v>
      </x:c>
      <x:c r="S46" s="66" t="n">
        <x:f>IF('Assumptions'!$D$7&lt;&gt;"Ready","Not supplied",S44-S45)</x:f>
        <x:v>27873.108673623432</x:v>
      </x:c>
      <x:c r="T46" s="66" t="n">
        <x:f>IF('Assumptions'!$D$7&lt;&gt;"Ready","Not supplied",T44-T45)</x:f>
        <x:v>28335.36045242729</x:v>
      </x:c>
      <x:c r="U46" s="66" t="n">
        <x:f>IF('Assumptions'!$D$7&lt;&gt;"Ready","Not supplied",U44-U45)</x:f>
        <x:v>28788.367195655064</x:v>
      </x:c>
      <x:c r="V46" s="66" t="n">
        <x:f>IF('Assumptions'!$D$7&lt;&gt;"Ready","Not supplied",V44-V45)</x:f>
        <x:v>29232.313804018286</x:v>
      </x:c>
      <x:c r="W46" s="66" t="n">
        <x:f>IF('Assumptions'!$D$7&lt;&gt;"Ready","Not supplied",W44-W45)</x:f>
        <x:v>29667.381480214248</x:v>
      </x:c>
      <x:c r="X46" s="66" t="n">
        <x:f>IF('Assumptions'!$D$7&lt;&gt;"Ready","Not supplied",X44-X45)</x:f>
        <x:v>30093.74780288629</x:v>
      </x:c>
      <x:c r="Y46" s="66" t="n">
        <x:f>IF('Assumptions'!$D$7&lt;&gt;"Ready","Not supplied",Y44-Y45)</x:f>
        <x:v>30511.586799104887</x:v>
      </x:c>
      <x:c r="Z46" s="66" t="n">
        <x:f>IF('Assumptions'!$D$7&lt;&gt;"Ready","Not supplied",Z44-Z45)</x:f>
        <x:v>30921.069015399113</x:v>
      </x:c>
      <x:c r="AA46" s="66" t="n">
        <x:f>IF('Assumptions'!$D$7&lt;&gt;"Ready","Not supplied",AA44-AA45)</x:f>
        <x:v>31322.361587367453</x:v>
      </x:c>
    </x:row>
    <x:row r="47" ht="21" customHeight="1">
      <x:c r="A47" s="50"/>
      <x:c r="B47" s="50"/>
      <x:c r="C47" s="50" t="str">
        <x:v>Incremental B2B net sales</x:v>
      </x:c>
      <x:c r="D47" s="66" t="n">
        <x:f>IF('Assumptions'!$D$7&lt;&gt;"Ready","Not supplied",'Assumptions'!$D$130*'Assumptions'!$D$135*'Assumptions'!$D$140*D34)</x:f>
        <x:v>0</x:v>
      </x:c>
      <x:c r="E47" s="66" t="n">
        <x:f>IF('Assumptions'!$D$7&lt;&gt;"Ready","Not supplied",'Assumptions'!$D$130*'Assumptions'!$D$135*'Assumptions'!$D$140*E34)</x:f>
        <x:v>0</x:v>
      </x:c>
      <x:c r="F47" s="66" t="n">
        <x:f>IF('Assumptions'!$D$7&lt;&gt;"Ready","Not supplied",'Assumptions'!$D$130*'Assumptions'!$D$135*'Assumptions'!$D$140*F34)</x:f>
        <x:v>84</x:v>
      </x:c>
      <x:c r="G47" s="66" t="n">
        <x:f>IF('Assumptions'!$D$7&lt;&gt;"Ready","Not supplied",'Assumptions'!$D$130*'Assumptions'!$D$135*'Assumptions'!$D$140*G34)</x:f>
        <x:v>168</x:v>
      </x:c>
      <x:c r="H47" s="66" t="n">
        <x:f>IF('Assumptions'!$D$7&lt;&gt;"Ready","Not supplied",'Assumptions'!$D$130*'Assumptions'!$D$135*'Assumptions'!$D$140*H34)</x:f>
        <x:v>252</x:v>
      </x:c>
      <x:c r="I47" s="66" t="n">
        <x:f>IF('Assumptions'!$D$7&lt;&gt;"Ready","Not supplied",'Assumptions'!$D$130*'Assumptions'!$D$135*'Assumptions'!$D$140*I34)</x:f>
        <x:v>336</x:v>
      </x:c>
      <x:c r="J47" s="66" t="n">
        <x:f>IF('Assumptions'!$D$7&lt;&gt;"Ready","Not supplied",'Assumptions'!$D$130*'Assumptions'!$D$135*'Assumptions'!$D$140*J34)</x:f>
        <x:v>336</x:v>
      </x:c>
      <x:c r="K47" s="66" t="n">
        <x:f>IF('Assumptions'!$D$7&lt;&gt;"Ready","Not supplied",'Assumptions'!$D$130*'Assumptions'!$D$135*'Assumptions'!$D$140*K34)</x:f>
        <x:v>336</x:v>
      </x:c>
      <x:c r="L47" s="66" t="n">
        <x:f>IF('Assumptions'!$D$7&lt;&gt;"Ready","Not supplied",'Assumptions'!$D$130*'Assumptions'!$D$135*'Assumptions'!$D$140*L34)</x:f>
        <x:v>336</x:v>
      </x:c>
      <x:c r="M47" s="66" t="n">
        <x:f>IF('Assumptions'!$D$7&lt;&gt;"Ready","Not supplied",'Assumptions'!$D$130*'Assumptions'!$D$135*'Assumptions'!$D$140*M34)</x:f>
        <x:v>336</x:v>
      </x:c>
      <x:c r="N47" s="66" t="n">
        <x:f>IF('Assumptions'!$D$7&lt;&gt;"Ready","Not supplied",'Assumptions'!$D$130*'Assumptions'!$D$135*'Assumptions'!$D$140*N34)</x:f>
        <x:v>336</x:v>
      </x:c>
      <x:c r="O47" s="66" t="n">
        <x:f>IF('Assumptions'!$D$7&lt;&gt;"Ready","Not supplied",'Assumptions'!$D$130*'Assumptions'!$D$135*'Assumptions'!$D$140*O34)</x:f>
        <x:v>336</x:v>
      </x:c>
      <x:c r="P47" s="66" t="n">
        <x:f>IF('Assumptions'!$D$7&lt;&gt;"Ready","Not supplied",'Assumptions'!$D$130*'Assumptions'!$D$135*'Assumptions'!$D$140*P34)</x:f>
        <x:v>336</x:v>
      </x:c>
      <x:c r="Q47" s="66" t="n">
        <x:f>IF('Assumptions'!$D$7&lt;&gt;"Ready","Not supplied",'Assumptions'!$D$130*'Assumptions'!$D$135*'Assumptions'!$D$140*Q34)</x:f>
        <x:v>336</x:v>
      </x:c>
      <x:c r="R47" s="66" t="n">
        <x:f>IF('Assumptions'!$D$7&lt;&gt;"Ready","Not supplied",'Assumptions'!$D$130*'Assumptions'!$D$135*'Assumptions'!$D$140*R34)</x:f>
        <x:v>336</x:v>
      </x:c>
      <x:c r="S47" s="66" t="n">
        <x:f>IF('Assumptions'!$D$7&lt;&gt;"Ready","Not supplied",'Assumptions'!$D$130*'Assumptions'!$D$135*'Assumptions'!$D$140*S34)</x:f>
        <x:v>336</x:v>
      </x:c>
      <x:c r="T47" s="66" t="n">
        <x:f>IF('Assumptions'!$D$7&lt;&gt;"Ready","Not supplied",'Assumptions'!$D$130*'Assumptions'!$D$135*'Assumptions'!$D$140*T34)</x:f>
        <x:v>336</x:v>
      </x:c>
      <x:c r="U47" s="66" t="n">
        <x:f>IF('Assumptions'!$D$7&lt;&gt;"Ready","Not supplied",'Assumptions'!$D$130*'Assumptions'!$D$135*'Assumptions'!$D$140*U34)</x:f>
        <x:v>336</x:v>
      </x:c>
      <x:c r="V47" s="66" t="n">
        <x:f>IF('Assumptions'!$D$7&lt;&gt;"Ready","Not supplied",'Assumptions'!$D$130*'Assumptions'!$D$135*'Assumptions'!$D$140*V34)</x:f>
        <x:v>336</x:v>
      </x:c>
      <x:c r="W47" s="66" t="n">
        <x:f>IF('Assumptions'!$D$7&lt;&gt;"Ready","Not supplied",'Assumptions'!$D$130*'Assumptions'!$D$135*'Assumptions'!$D$140*W34)</x:f>
        <x:v>336</x:v>
      </x:c>
      <x:c r="X47" s="66" t="n">
        <x:f>IF('Assumptions'!$D$7&lt;&gt;"Ready","Not supplied",'Assumptions'!$D$130*'Assumptions'!$D$135*'Assumptions'!$D$140*X34)</x:f>
        <x:v>336</x:v>
      </x:c>
      <x:c r="Y47" s="66" t="n">
        <x:f>IF('Assumptions'!$D$7&lt;&gt;"Ready","Not supplied",'Assumptions'!$D$130*'Assumptions'!$D$135*'Assumptions'!$D$140*Y34)</x:f>
        <x:v>336</x:v>
      </x:c>
      <x:c r="Z47" s="66" t="n">
        <x:f>IF('Assumptions'!$D$7&lt;&gt;"Ready","Not supplied",'Assumptions'!$D$130*'Assumptions'!$D$135*'Assumptions'!$D$140*Z34)</x:f>
        <x:v>336</x:v>
      </x:c>
      <x:c r="AA47" s="66" t="n">
        <x:f>IF('Assumptions'!$D$7&lt;&gt;"Ready","Not supplied",'Assumptions'!$D$130*'Assumptions'!$D$135*'Assumptions'!$D$140*AA34)</x:f>
        <x:v>336</x:v>
      </x:c>
    </x:row>
    <x:row r="48" ht="21" customHeight="1">
      <x:c r="A48" s="50"/>
      <x:c r="B48" s="50"/>
      <x:c r="C48" s="50" t="str">
        <x:v>Total B2B net sales</x:v>
      </x:c>
      <x:c r="D48" s="66" t="n">
        <x:f>IF('Assumptions'!$D$7&lt;&gt;"Ready","Not supplied",SUM(D20,D47))</x:f>
        <x:v>5000</x:v>
      </x:c>
      <x:c r="E48" s="66" t="n">
        <x:f>IF('Assumptions'!$D$7&lt;&gt;"Ready","Not supplied",SUM(E20,E47))</x:f>
        <x:v>5000</x:v>
      </x:c>
      <x:c r="F48" s="66" t="n">
        <x:f>IF('Assumptions'!$D$7&lt;&gt;"Ready","Not supplied",SUM(F20,F47))</x:f>
        <x:v>5084</x:v>
      </x:c>
      <x:c r="G48" s="66" t="n">
        <x:f>IF('Assumptions'!$D$7&lt;&gt;"Ready","Not supplied",SUM(G20,G47))</x:f>
        <x:v>5168</x:v>
      </x:c>
      <x:c r="H48" s="66" t="n">
        <x:f>IF('Assumptions'!$D$7&lt;&gt;"Ready","Not supplied",SUM(H20,H47))</x:f>
        <x:v>5252</x:v>
      </x:c>
      <x:c r="I48" s="66" t="n">
        <x:f>IF('Assumptions'!$D$7&lt;&gt;"Ready","Not supplied",SUM(I20,I47))</x:f>
        <x:v>5336</x:v>
      </x:c>
      <x:c r="J48" s="66" t="n">
        <x:f>IF('Assumptions'!$D$7&lt;&gt;"Ready","Not supplied",SUM(J20,J47))</x:f>
        <x:v>5336</x:v>
      </x:c>
      <x:c r="K48" s="66" t="n">
        <x:f>IF('Assumptions'!$D$7&lt;&gt;"Ready","Not supplied",SUM(K20,K47))</x:f>
        <x:v>5336</x:v>
      </x:c>
      <x:c r="L48" s="66" t="n">
        <x:f>IF('Assumptions'!$D$7&lt;&gt;"Ready","Not supplied",SUM(L20,L47))</x:f>
        <x:v>5336</x:v>
      </x:c>
      <x:c r="M48" s="66" t="n">
        <x:f>IF('Assumptions'!$D$7&lt;&gt;"Ready","Not supplied",SUM(M20,M47))</x:f>
        <x:v>5336</x:v>
      </x:c>
      <x:c r="N48" s="66" t="n">
        <x:f>IF('Assumptions'!$D$7&lt;&gt;"Ready","Not supplied",SUM(N20,N47))</x:f>
        <x:v>5336</x:v>
      </x:c>
      <x:c r="O48" s="66" t="n">
        <x:f>IF('Assumptions'!$D$7&lt;&gt;"Ready","Not supplied",SUM(O20,O47))</x:f>
        <x:v>5336</x:v>
      </x:c>
      <x:c r="P48" s="66" t="n">
        <x:f>IF('Assumptions'!$D$7&lt;&gt;"Ready","Not supplied",SUM(P20,P47))</x:f>
        <x:v>5336</x:v>
      </x:c>
      <x:c r="Q48" s="66" t="n">
        <x:f>IF('Assumptions'!$D$7&lt;&gt;"Ready","Not supplied",SUM(Q20,Q47))</x:f>
        <x:v>5336</x:v>
      </x:c>
      <x:c r="R48" s="66" t="n">
        <x:f>IF('Assumptions'!$D$7&lt;&gt;"Ready","Not supplied",SUM(R20,R47))</x:f>
        <x:v>5336</x:v>
      </x:c>
      <x:c r="S48" s="66" t="n">
        <x:f>IF('Assumptions'!$D$7&lt;&gt;"Ready","Not supplied",SUM(S20,S47))</x:f>
        <x:v>5336</x:v>
      </x:c>
      <x:c r="T48" s="66" t="n">
        <x:f>IF('Assumptions'!$D$7&lt;&gt;"Ready","Not supplied",SUM(T20,T47))</x:f>
        <x:v>5336</x:v>
      </x:c>
      <x:c r="U48" s="66" t="n">
        <x:f>IF('Assumptions'!$D$7&lt;&gt;"Ready","Not supplied",SUM(U20,U47))</x:f>
        <x:v>5336</x:v>
      </x:c>
      <x:c r="V48" s="66" t="n">
        <x:f>IF('Assumptions'!$D$7&lt;&gt;"Ready","Not supplied",SUM(V20,V47))</x:f>
        <x:v>5336</x:v>
      </x:c>
      <x:c r="W48" s="66" t="n">
        <x:f>IF('Assumptions'!$D$7&lt;&gt;"Ready","Not supplied",SUM(W20,W47))</x:f>
        <x:v>5336</x:v>
      </x:c>
      <x:c r="X48" s="66" t="n">
        <x:f>IF('Assumptions'!$D$7&lt;&gt;"Ready","Not supplied",SUM(X20,X47))</x:f>
        <x:v>5336</x:v>
      </x:c>
      <x:c r="Y48" s="66" t="n">
        <x:f>IF('Assumptions'!$D$7&lt;&gt;"Ready","Not supplied",SUM(Y20,Y47))</x:f>
        <x:v>5336</x:v>
      </x:c>
      <x:c r="Z48" s="66" t="n">
        <x:f>IF('Assumptions'!$D$7&lt;&gt;"Ready","Not supplied",SUM(Z20,Z47))</x:f>
        <x:v>5336</x:v>
      </x:c>
      <x:c r="AA48" s="66" t="n">
        <x:f>IF('Assumptions'!$D$7&lt;&gt;"Ready","Not supplied",SUM(AA20,AA47))</x:f>
        <x:v>5336</x:v>
      </x:c>
    </x:row>
    <x:row r="49" ht="21" customHeight="1">
      <x:c r="A49" s="50"/>
      <x:c r="B49" s="50"/>
      <x:c r="C49" s="56" t="str">
        <x:v>Total net sales</x:v>
      </x:c>
      <x:c r="D49" s="78" t="n">
        <x:f>IF('Assumptions'!$D$7&lt;&gt;"Ready","Not supplied",SUM(D46,D48))</x:f>
        <x:v>23432</x:v>
      </x:c>
      <x:c r="E49" s="78" t="n">
        <x:f>IF('Assumptions'!$D$7&lt;&gt;"Ready","Not supplied",SUM(E46,E48))</x:f>
        <x:v>23972.672000000002</x:v>
      </x:c>
      <x:c r="F49" s="78" t="n">
        <x:f>IF('Assumptions'!$D$7&lt;&gt;"Ready","Not supplied",SUM(F46,F48))</x:f>
        <x:v>24955.355269283846</x:v>
      </x:c>
      <x:c r="G49" s="78" t="n">
        <x:f>IF('Assumptions'!$D$7&lt;&gt;"Ready","Not supplied",SUM(G46,G48))</x:f>
        <x:v>25959.77401384552</x:v>
      </x:c>
      <x:c r="H49" s="78" t="n">
        <x:f>IF('Assumptions'!$D$7&lt;&gt;"Ready","Not supplied",SUM(H46,H48))</x:f>
        <x:v>26986.13163356232</x:v>
      </x:c>
      <x:c r="I49" s="78" t="n">
        <x:f>IF('Assumptions'!$D$7&lt;&gt;"Ready","Not supplied",SUM(I46,I48))</x:f>
        <x:v>28034.63586685275</x:v>
      </x:c>
      <x:c r="J49" s="78" t="n">
        <x:f>IF('Assumptions'!$D$7&lt;&gt;"Ready","Not supplied",SUM(J46,J48))</x:f>
        <x:v>28600.377101792015</x:v>
      </x:c>
      <x:c r="K49" s="78" t="n">
        <x:f>IF('Assumptions'!$D$7&lt;&gt;"Ready","Not supplied",SUM(K46,K48))</x:f>
        <x:v>29154.803512032508</x:v>
      </x:c>
      <x:c r="L49" s="78" t="n">
        <x:f>IF('Assumptions'!$D$7&lt;&gt;"Ready","Not supplied",SUM(L46,L48))</x:f>
        <x:v>29698.141394068178</x:v>
      </x:c>
      <x:c r="M49" s="78" t="n">
        <x:f>IF('Assumptions'!$D$7&lt;&gt;"Ready","Not supplied",SUM(M46,M48))</x:f>
        <x:v>30230.612518463142</x:v>
      </x:c>
      <x:c r="N49" s="78" t="n">
        <x:f>IF('Assumptions'!$D$7&lt;&gt;"Ready","Not supplied",SUM(N46,N48))</x:f>
        <x:v>30752.434220370207</x:v>
      </x:c>
      <x:c r="O49" s="78" t="n">
        <x:f>IF('Assumptions'!$D$7&lt;&gt;"Ready","Not supplied",SUM(O46,O48))</x:f>
        <x:v>31263.819488239125</x:v>
      </x:c>
      <x:c r="P49" s="78" t="n">
        <x:f>IF('Assumptions'!$D$7&lt;&gt;"Ready","Not supplied",SUM(P46,P48))</x:f>
        <x:v>31764.97705075067</x:v>
      </x:c>
      <x:c r="Q49" s="78" t="n">
        <x:f>IF('Assumptions'!$D$7&lt;&gt;"Ready","Not supplied",SUM(Q46,Q48))</x:f>
        <x:v>32256.111462011977</x:v>
      </x:c>
      <x:c r="R49" s="78" t="n">
        <x:f>IF('Assumptions'!$D$7&lt;&gt;"Ready","Not supplied",SUM(R46,R48))</x:f>
        <x:v>32737.423185048065</x:v>
      </x:c>
      <x:c r="S49" s="78" t="n">
        <x:f>IF('Assumptions'!$D$7&lt;&gt;"Ready","Not supplied",SUM(S46,S48))</x:f>
        <x:v>33209.10867362343</x:v>
      </x:c>
      <x:c r="T49" s="78" t="n">
        <x:f>IF('Assumptions'!$D$7&lt;&gt;"Ready","Not supplied",SUM(T46,T48))</x:f>
        <x:v>33671.36045242729</x:v>
      </x:c>
      <x:c r="U49" s="78" t="n">
        <x:f>IF('Assumptions'!$D$7&lt;&gt;"Ready","Not supplied",SUM(U46,U48))</x:f>
        <x:v>34124.36719565507</x:v>
      </x:c>
      <x:c r="V49" s="78" t="n">
        <x:f>IF('Assumptions'!$D$7&lt;&gt;"Ready","Not supplied",SUM(V46,V48))</x:f>
        <x:v>34568.31380401828</x:v>
      </x:c>
      <x:c r="W49" s="78" t="n">
        <x:f>IF('Assumptions'!$D$7&lt;&gt;"Ready","Not supplied",SUM(W46,W48))</x:f>
        <x:v>35003.381480214244</x:v>
      </x:c>
      <x:c r="X49" s="78" t="n">
        <x:f>IF('Assumptions'!$D$7&lt;&gt;"Ready","Not supplied",SUM(X46,X48))</x:f>
        <x:v>35429.74780288629</x:v>
      </x:c>
      <x:c r="Y49" s="78" t="n">
        <x:f>IF('Assumptions'!$D$7&lt;&gt;"Ready","Not supplied",SUM(Y46,Y48))</x:f>
        <x:v>35847.58679910489</x:v>
      </x:c>
      <x:c r="Z49" s="78" t="n">
        <x:f>IF('Assumptions'!$D$7&lt;&gt;"Ready","Not supplied",SUM(Z46,Z48))</x:f>
        <x:v>36257.069015399116</x:v>
      </x:c>
      <x:c r="AA49" s="78" t="n">
        <x:f>IF('Assumptions'!$D$7&lt;&gt;"Ready","Not supplied",SUM(AA46,AA48))</x:f>
        <x:v>36658.36158736746</x:v>
      </x:c>
    </x:row>
    <x:row r="50" ht="21" customHeight="1">
      <x:c r="A50" s="50"/>
      <x:c r="B50" s="50"/>
      <x:c r="C50" s="50" t="str">
        <x:v>Product costs</x:v>
      </x:c>
      <x:c r="D50" s="66" t="n">
        <x:f>IF('Assumptions'!$D$7&lt;&gt;"Ready","Not supplied",D44*'Assumptions'!$D$21)</x:f>
        <x:v>5760</x:v>
      </x:c>
      <x:c r="E50" s="66" t="n">
        <x:f>IF('Assumptions'!$D$7&lt;&gt;"Ready","Not supplied",E44*'Assumptions'!$D$21)</x:f>
        <x:v>5928.96</x:v>
      </x:c>
      <x:c r="F50" s="66" t="n">
        <x:f>IF('Assumptions'!$D$7&lt;&gt;"Ready","Not supplied",F44*'Assumptions'!$D$21)</x:f>
        <x:v>6209.798521651202</x:v>
      </x:c>
      <x:c r="G50" s="66" t="n">
        <x:f>IF('Assumptions'!$D$7&lt;&gt;"Ready","Not supplied",G44*'Assumptions'!$D$21)</x:f>
        <x:v>6497.429379326725</x:v>
      </x:c>
      <x:c r="H50" s="66" t="n">
        <x:f>IF('Assumptions'!$D$7&lt;&gt;"Ready","Not supplied",H44*'Assumptions'!$D$21)</x:f>
        <x:v>6791.916135488225</x:v>
      </x:c>
      <x:c r="I50" s="66" t="n">
        <x:f>IF('Assumptions'!$D$7&lt;&gt;"Ready","Not supplied",I44*'Assumptions'!$D$21)</x:f>
        <x:v>7093.323708391485</x:v>
      </x:c>
      <x:c r="J50" s="66" t="n">
        <x:f>IF('Assumptions'!$D$7&lt;&gt;"Ready","Not supplied",J44*'Assumptions'!$D$21)</x:f>
        <x:v>7270.117844310005</x:v>
      </x:c>
      <x:c r="K50" s="66" t="n">
        <x:f>IF('Assumptions'!$D$7&lt;&gt;"Ready","Not supplied",K44*'Assumptions'!$D$21)</x:f>
        <x:v>7443.376097510158</x:v>
      </x:c>
      <x:c r="L50" s="66" t="n">
        <x:f>IF('Assumptions'!$D$7&lt;&gt;"Ready","Not supplied",L44*'Assumptions'!$D$21)</x:f>
        <x:v>7613.169185646305</x:v>
      </x:c>
      <x:c r="M50" s="66" t="n">
        <x:f>IF('Assumptions'!$D$7&lt;&gt;"Ready","Not supplied",M44*'Assumptions'!$D$21)</x:f>
        <x:v>7779.566412019732</x:v>
      </x:c>
      <x:c r="N50" s="66" t="n">
        <x:f>IF('Assumptions'!$D$7&lt;&gt;"Ready","Not supplied",N44*'Assumptions'!$D$21)</x:f>
        <x:v>7942.635693865689</x:v>
      </x:c>
      <x:c r="O50" s="66" t="n">
        <x:f>IF('Assumptions'!$D$7&lt;&gt;"Ready","Not supplied",O44*'Assumptions'!$D$21)</x:f>
        <x:v>8102.443590074727</x:v>
      </x:c>
      <x:c r="P50" s="66" t="n">
        <x:f>IF('Assumptions'!$D$7&lt;&gt;"Ready","Not supplied",P44*'Assumptions'!$D$21)</x:f>
        <x:v>8259.055328359584</x:v>
      </x:c>
      <x:c r="Q50" s="66" t="n">
        <x:f>IF('Assumptions'!$D$7&lt;&gt;"Ready","Not supplied",Q44*'Assumptions'!$D$21)</x:f>
        <x:v>8412.534831878742</x:v>
      </x:c>
      <x:c r="R50" s="66" t="n">
        <x:f>IF('Assumptions'!$D$7&lt;&gt;"Ready","Not supplied",R44*'Assumptions'!$D$21)</x:f>
        <x:v>8562.944745327519</x:v>
      </x:c>
      <x:c r="S50" s="66" t="n">
        <x:f>IF('Assumptions'!$D$7&lt;&gt;"Ready","Not supplied",S44*'Assumptions'!$D$21)</x:f>
        <x:v>8710.346460507322</x:v>
      </x:c>
      <x:c r="T50" s="66" t="n">
        <x:f>IF('Assumptions'!$D$7&lt;&gt;"Ready","Not supplied",T44*'Assumptions'!$D$21)</x:f>
        <x:v>8854.800141383526</x:v>
      </x:c>
      <x:c r="U50" s="66" t="n">
        <x:f>IF('Assumptions'!$D$7&lt;&gt;"Ready","Not supplied",U44*'Assumptions'!$D$21)</x:f>
        <x:v>8996.364748642207</x:v>
      </x:c>
      <x:c r="V50" s="66" t="n">
        <x:f>IF('Assumptions'!$D$7&lt;&gt;"Ready","Not supplied",V44*'Assumptions'!$D$21)</x:f>
        <x:v>9135.098063755715</x:v>
      </x:c>
      <x:c r="W50" s="66" t="n">
        <x:f>IF('Assumptions'!$D$7&lt;&gt;"Ready","Not supplied",W44*'Assumptions'!$D$21)</x:f>
        <x:v>9271.056712566953</x:v>
      </x:c>
      <x:c r="X50" s="66" t="n">
        <x:f>IF('Assumptions'!$D$7&lt;&gt;"Ready","Not supplied",X44*'Assumptions'!$D$21)</x:f>
        <x:v>9404.296188401966</x:v>
      </x:c>
      <x:c r="Y50" s="66" t="n">
        <x:f>IF('Assumptions'!$D$7&lt;&gt;"Ready","Not supplied",Y44*'Assumptions'!$D$21)</x:f>
        <x:v>9534.870874720276</x:v>
      </x:c>
      <x:c r="Z50" s="66" t="n">
        <x:f>IF('Assumptions'!$D$7&lt;&gt;"Ready","Not supplied",Z44*'Assumptions'!$D$21)</x:f>
        <x:v>9662.834067312222</x:v>
      </x:c>
      <x:c r="AA50" s="66" t="n">
        <x:f>IF('Assumptions'!$D$7&lt;&gt;"Ready","Not supplied",AA44*'Assumptions'!$D$21)</x:f>
        <x:v>9788.237996052329</x:v>
      </x:c>
    </x:row>
    <x:row r="51" ht="21" customHeight="1">
      <x:c r="A51" s="50"/>
      <x:c r="B51" s="50"/>
      <x:c r="C51" s="50" t="str">
        <x:v>Fulfilment</x:v>
      </x:c>
      <x:c r="D51" s="66" t="n">
        <x:f>IF('Assumptions'!$D$7&lt;&gt;"Ready","Not supplied",D41*'Assumptions'!$D$22)</x:f>
        <x:v>1200</x:v>
      </x:c>
      <x:c r="E51" s="66" t="n">
        <x:f>IF('Assumptions'!$D$7&lt;&gt;"Ready","Not supplied",E41*'Assumptions'!$D$22)</x:f>
        <x:v>1235.2</x:v>
      </x:c>
      <x:c r="F51" s="66" t="n">
        <x:f>IF('Assumptions'!$D$7&lt;&gt;"Ready","Not supplied",F41*'Assumptions'!$D$22)</x:f>
        <x:v>1290.6105600000003</x:v>
      </x:c>
      <x:c r="G51" s="66" t="n">
        <x:f>IF('Assumptions'!$D$7&lt;&gt;"Ready","Not supplied",G41*'Assumptions'!$D$22)</x:f>
        <x:v>1347.1647299891201</x:v>
      </x:c>
      <x:c r="H51" s="66" t="n">
        <x:f>IF('Assumptions'!$D$7&lt;&gt;"Ready","Not supplied",H41*'Assumptions'!$D$22)</x:f>
        <x:v>1404.8674823537663</x:v>
      </x:c>
      <x:c r="I51" s="66" t="n">
        <x:f>IF('Assumptions'!$D$7&lt;&gt;"Ready","Not supplied",I41*'Assumptions'!$D$22)</x:f>
        <x:v>1463.724021970641</x:v>
      </x:c>
      <x:c r="J51" s="66" t="n">
        <x:f>IF('Assumptions'!$D$7&lt;&gt;"Ready","Not supplied",J41*'Assumptions'!$D$22)</x:f>
        <x:v>1500.2059075190682</x:v>
      </x:c>
      <x:c r="K51" s="66" t="n">
        <x:f>IF('Assumptions'!$D$7&lt;&gt;"Ready","Not supplied",K41*'Assumptions'!$D$22)</x:f>
        <x:v>1535.958155356527</x:v>
      </x:c>
      <x:c r="L51" s="66" t="n">
        <x:f>IF('Assumptions'!$D$7&lt;&gt;"Ready","Not supplied",L41*'Assumptions'!$D$22)</x:f>
        <x:v>1570.9953582372361</x:v>
      </x:c>
      <x:c r="M51" s="66" t="n">
        <x:f>IF('Assumptions'!$D$7&lt;&gt;"Ready","Not supplied",M41*'Assumptions'!$D$22)</x:f>
        <x:v>1605.3318170603316</x:v>
      </x:c>
      <x:c r="N51" s="66" t="n">
        <x:f>IF('Assumptions'!$D$7&lt;&gt;"Ready","Not supplied",N41*'Assumptions'!$D$22)</x:f>
        <x:v>1638.981546706965</x:v>
      </x:c>
      <x:c r="O51" s="66" t="n">
        <x:f>IF('Assumptions'!$D$7&lt;&gt;"Ready","Not supplied",O41*'Assumptions'!$D$22)</x:f>
        <x:v>1671.9582817606656</x:v>
      </x:c>
      <x:c r="P51" s="66" t="n">
        <x:f>IF('Assumptions'!$D$7&lt;&gt;"Ready","Not supplied",P41*'Assumptions'!$D$22)</x:f>
        <x:v>1704.2754821132921</x:v>
      </x:c>
      <x:c r="Q51" s="66" t="n">
        <x:f>IF('Assumptions'!$D$7&lt;&gt;"Ready","Not supplied",Q41*'Assumptions'!$D$22)</x:f>
        <x:v>1735.9463384588662</x:v>
      </x:c>
      <x:c r="R51" s="66" t="n">
        <x:f>IF('Assumptions'!$D$7&lt;&gt;"Ready","Not supplied",R41*'Assumptions'!$D$22)</x:f>
        <x:v>1766.983777677529</x:v>
      </x:c>
      <x:c r="S51" s="66" t="n">
        <x:f>IF('Assumptions'!$D$7&lt;&gt;"Ready","Not supplied",S41*'Assumptions'!$D$22)</x:f>
        <x:v>1797.4004681118186</x:v>
      </x:c>
      <x:c r="T51" s="66" t="n">
        <x:f>IF('Assumptions'!$D$7&lt;&gt;"Ready","Not supplied",T41*'Assumptions'!$D$22)</x:f>
        <x:v>1827.2088247374222</x:v>
      </x:c>
      <x:c r="U51" s="66" t="n">
        <x:f>IF('Assumptions'!$D$7&lt;&gt;"Ready","Not supplied",U41*'Assumptions'!$D$22)</x:f>
        <x:v>1856.4210142305137</x:v>
      </x:c>
      <x:c r="V51" s="66" t="n">
        <x:f>IF('Assumptions'!$D$7&lt;&gt;"Ready","Not supplied",V41*'Assumptions'!$D$22)</x:f>
        <x:v>1885.0489599337434</x:v>
      </x:c>
      <x:c r="W51" s="66" t="n">
        <x:f>IF('Assumptions'!$D$7&lt;&gt;"Ready","Not supplied",W41*'Assumptions'!$D$22)</x:f>
        <x:v>1913.1043467229085</x:v>
      </x:c>
      <x:c r="X51" s="66" t="n">
        <x:f>IF('Assumptions'!$D$7&lt;&gt;"Ready","Not supplied",X41*'Assumptions'!$D$22)</x:f>
        <x:v>1940.5986257762904</x:v>
      </x:c>
      <x:c r="Y51" s="66" t="n">
        <x:f>IF('Assumptions'!$D$7&lt;&gt;"Ready","Not supplied",Y41*'Assumptions'!$D$22)</x:f>
        <x:v>1967.5430192486044</x:v>
      </x:c>
      <x:c r="Z51" s="66" t="n">
        <x:f>IF('Assumptions'!$D$7&lt;&gt;"Ready","Not supplied",Z41*'Assumptions'!$D$22)</x:f>
        <x:v>1993.9485248514723</x:v>
      </x:c>
      <x:c r="AA51" s="66" t="n">
        <x:f>IF('Assumptions'!$D$7&lt;&gt;"Ready","Not supplied",AA41*'Assumptions'!$D$22)</x:f>
        <x:v>2019.8259203422826</x:v>
      </x:c>
    </x:row>
    <x:row r="52" ht="21" customHeight="1">
      <x:c r="A52" s="50"/>
      <x:c r="B52" s="50"/>
      <x:c r="C52" s="50" t="str">
        <x:v>Payment / commission</x:v>
      </x:c>
      <x:c r="D52" s="66" t="n">
        <x:f>IF('Assumptions'!$D$7&lt;&gt;"Ready","Not supplied",D44*'Assumptions'!$D$23)</x:f>
        <x:v>576</x:v>
      </x:c>
      <x:c r="E52" s="66" t="n">
        <x:f>IF('Assumptions'!$D$7&lt;&gt;"Ready","Not supplied",E44*'Assumptions'!$D$23)</x:f>
        <x:v>592.896</x:v>
      </x:c>
      <x:c r="F52" s="66" t="n">
        <x:f>IF('Assumptions'!$D$7&lt;&gt;"Ready","Not supplied",F44*'Assumptions'!$D$23)</x:f>
        <x:v>620.9798521651202</x:v>
      </x:c>
      <x:c r="G52" s="66" t="n">
        <x:f>IF('Assumptions'!$D$7&lt;&gt;"Ready","Not supplied",G44*'Assumptions'!$D$23)</x:f>
        <x:v>649.7429379326725</x:v>
      </x:c>
      <x:c r="H52" s="66" t="n">
        <x:f>IF('Assumptions'!$D$7&lt;&gt;"Ready","Not supplied",H44*'Assumptions'!$D$23)</x:f>
        <x:v>679.1916135488225</x:v>
      </x:c>
      <x:c r="I52" s="66" t="n">
        <x:f>IF('Assumptions'!$D$7&lt;&gt;"Ready","Not supplied",I44*'Assumptions'!$D$23)</x:f>
        <x:v>709.3323708391484</x:v>
      </x:c>
      <x:c r="J52" s="66" t="n">
        <x:f>IF('Assumptions'!$D$7&lt;&gt;"Ready","Not supplied",J44*'Assumptions'!$D$23)</x:f>
        <x:v>727.0117844310005</x:v>
      </x:c>
      <x:c r="K52" s="66" t="n">
        <x:f>IF('Assumptions'!$D$7&lt;&gt;"Ready","Not supplied",K44*'Assumptions'!$D$23)</x:f>
        <x:v>744.3376097510157</x:v>
      </x:c>
      <x:c r="L52" s="66" t="n">
        <x:f>IF('Assumptions'!$D$7&lt;&gt;"Ready","Not supplied",L44*'Assumptions'!$D$23)</x:f>
        <x:v>761.3169185646304</x:v>
      </x:c>
      <x:c r="M52" s="66" t="n">
        <x:f>IF('Assumptions'!$D$7&lt;&gt;"Ready","Not supplied",M44*'Assumptions'!$D$23)</x:f>
        <x:v>777.9566412019732</x:v>
      </x:c>
      <x:c r="N52" s="66" t="n">
        <x:f>IF('Assumptions'!$D$7&lt;&gt;"Ready","Not supplied",N44*'Assumptions'!$D$23)</x:f>
        <x:v>794.2635693865689</x:v>
      </x:c>
      <x:c r="O52" s="66" t="n">
        <x:f>IF('Assumptions'!$D$7&lt;&gt;"Ready","Not supplied",O44*'Assumptions'!$D$23)</x:f>
        <x:v>810.2443590074727</x:v>
      </x:c>
      <x:c r="P52" s="66" t="n">
        <x:f>IF('Assumptions'!$D$7&lt;&gt;"Ready","Not supplied",P44*'Assumptions'!$D$23)</x:f>
        <x:v>825.9055328359583</x:v>
      </x:c>
      <x:c r="Q52" s="66" t="n">
        <x:f>IF('Assumptions'!$D$7&lt;&gt;"Ready","Not supplied",Q44*'Assumptions'!$D$23)</x:f>
        <x:v>841.2534831878743</x:v>
      </x:c>
      <x:c r="R52" s="66" t="n">
        <x:f>IF('Assumptions'!$D$7&lt;&gt;"Ready","Not supplied",R44*'Assumptions'!$D$23)</x:f>
        <x:v>856.2944745327519</x:v>
      </x:c>
      <x:c r="S52" s="66" t="n">
        <x:f>IF('Assumptions'!$D$7&lt;&gt;"Ready","Not supplied",S44*'Assumptions'!$D$23)</x:f>
        <x:v>871.0346460507322</x:v>
      </x:c>
      <x:c r="T52" s="66" t="n">
        <x:f>IF('Assumptions'!$D$7&lt;&gt;"Ready","Not supplied",T44*'Assumptions'!$D$23)</x:f>
        <x:v>885.4800141383527</x:v>
      </x:c>
      <x:c r="U52" s="66" t="n">
        <x:f>IF('Assumptions'!$D$7&lt;&gt;"Ready","Not supplied",U44*'Assumptions'!$D$23)</x:f>
        <x:v>899.6364748642208</x:v>
      </x:c>
      <x:c r="V52" s="66" t="n">
        <x:f>IF('Assumptions'!$D$7&lt;&gt;"Ready","Not supplied",V44*'Assumptions'!$D$23)</x:f>
        <x:v>913.5098063755714</x:v>
      </x:c>
      <x:c r="W52" s="66" t="n">
        <x:f>IF('Assumptions'!$D$7&lt;&gt;"Ready","Not supplied",W44*'Assumptions'!$D$23)</x:f>
        <x:v>927.1056712566952</x:v>
      </x:c>
      <x:c r="X52" s="66" t="n">
        <x:f>IF('Assumptions'!$D$7&lt;&gt;"Ready","Not supplied",X44*'Assumptions'!$D$23)</x:f>
        <x:v>940.4296188401966</x:v>
      </x:c>
      <x:c r="Y52" s="66" t="n">
        <x:f>IF('Assumptions'!$D$7&lt;&gt;"Ready","Not supplied",Y44*'Assumptions'!$D$23)</x:f>
        <x:v>953.4870874720276</x:v>
      </x:c>
      <x:c r="Z52" s="66" t="n">
        <x:f>IF('Assumptions'!$D$7&lt;&gt;"Ready","Not supplied",Z44*'Assumptions'!$D$23)</x:f>
        <x:v>966.2834067312222</x:v>
      </x:c>
      <x:c r="AA52" s="66" t="n">
        <x:f>IF('Assumptions'!$D$7&lt;&gt;"Ready","Not supplied",AA44*'Assumptions'!$D$23)</x:f>
        <x:v>978.8237996052329</x:v>
      </x:c>
    </x:row>
    <x:row r="53" ht="21" customHeight="1">
      <x:c r="A53" s="50"/>
      <x:c r="B53" s="50"/>
      <x:c r="C53" s="50" t="str">
        <x:v>Variable service</x:v>
      </x:c>
      <x:c r="D53" s="66" t="n">
        <x:f>IF('Assumptions'!$D$7&lt;&gt;"Ready","Not supplied",D41*'Assumptions'!$D$24)</x:f>
        <x:v>240</x:v>
      </x:c>
      <x:c r="E53" s="66" t="n">
        <x:f>IF('Assumptions'!$D$7&lt;&gt;"Ready","Not supplied",E41*'Assumptions'!$D$24)</x:f>
        <x:v>247.04</x:v>
      </x:c>
      <x:c r="F53" s="66" t="n">
        <x:f>IF('Assumptions'!$D$7&lt;&gt;"Ready","Not supplied",F41*'Assumptions'!$D$24)</x:f>
        <x:v>258.1221120000001</x:v>
      </x:c>
      <x:c r="G53" s="66" t="n">
        <x:f>IF('Assumptions'!$D$7&lt;&gt;"Ready","Not supplied",G41*'Assumptions'!$D$24)</x:f>
        <x:v>269.43294599782405</x:v>
      </x:c>
      <x:c r="H53" s="66" t="n">
        <x:f>IF('Assumptions'!$D$7&lt;&gt;"Ready","Not supplied",H41*'Assumptions'!$D$24)</x:f>
        <x:v>280.9734964707533</x:v>
      </x:c>
      <x:c r="I53" s="66" t="n">
        <x:f>IF('Assumptions'!$D$7&lt;&gt;"Ready","Not supplied",I41*'Assumptions'!$D$24)</x:f>
        <x:v>292.7448043941282</x:v>
      </x:c>
      <x:c r="J53" s="66" t="n">
        <x:f>IF('Assumptions'!$D$7&lt;&gt;"Ready","Not supplied",J41*'Assumptions'!$D$24)</x:f>
        <x:v>300.0411815038136</x:v>
      </x:c>
      <x:c r="K53" s="66" t="n">
        <x:f>IF('Assumptions'!$D$7&lt;&gt;"Ready","Not supplied",K41*'Assumptions'!$D$24)</x:f>
        <x:v>307.1916310713054</x:v>
      </x:c>
      <x:c r="L53" s="66" t="n">
        <x:f>IF('Assumptions'!$D$7&lt;&gt;"Ready","Not supplied",L41*'Assumptions'!$D$24)</x:f>
        <x:v>314.1990716474472</x:v>
      </x:c>
      <x:c r="M53" s="66" t="n">
        <x:f>IF('Assumptions'!$D$7&lt;&gt;"Ready","Not supplied",M41*'Assumptions'!$D$24)</x:f>
        <x:v>321.0663634120663</x:v>
      </x:c>
      <x:c r="N53" s="66" t="n">
        <x:f>IF('Assumptions'!$D$7&lt;&gt;"Ready","Not supplied",N41*'Assumptions'!$D$24)</x:f>
        <x:v>327.796309341393</x:v>
      </x:c>
      <x:c r="O53" s="66" t="n">
        <x:f>IF('Assumptions'!$D$7&lt;&gt;"Ready","Not supplied",O41*'Assumptions'!$D$24)</x:f>
        <x:v>334.3916563521331</x:v>
      </x:c>
      <x:c r="P53" s="66" t="n">
        <x:f>IF('Assumptions'!$D$7&lt;&gt;"Ready","Not supplied",P41*'Assumptions'!$D$24)</x:f>
        <x:v>340.85509642265845</x:v>
      </x:c>
      <x:c r="Q53" s="66" t="n">
        <x:f>IF('Assumptions'!$D$7&lt;&gt;"Ready","Not supplied",Q41*'Assumptions'!$D$24)</x:f>
        <x:v>347.18926769177324</x:v>
      </x:c>
      <x:c r="R53" s="66" t="n">
        <x:f>IF('Assumptions'!$D$7&lt;&gt;"Ready","Not supplied",R41*'Assumptions'!$D$24)</x:f>
        <x:v>353.3967555355058</x:v>
      </x:c>
      <x:c r="S53" s="66" t="n">
        <x:f>IF('Assumptions'!$D$7&lt;&gt;"Ready","Not supplied",S41*'Assumptions'!$D$24)</x:f>
        <x:v>359.4800936223637</x:v>
      </x:c>
      <x:c r="T53" s="66" t="n">
        <x:f>IF('Assumptions'!$D$7&lt;&gt;"Ready","Not supplied",T41*'Assumptions'!$D$24)</x:f>
        <x:v>365.44176494748444</x:v>
      </x:c>
      <x:c r="U53" s="66" t="n">
        <x:f>IF('Assumptions'!$D$7&lt;&gt;"Ready","Not supplied",U41*'Assumptions'!$D$24)</x:f>
        <x:v>371.28420284610274</x:v>
      </x:c>
      <x:c r="V53" s="66" t="n">
        <x:f>IF('Assumptions'!$D$7&lt;&gt;"Ready","Not supplied",V41*'Assumptions'!$D$24)</x:f>
        <x:v>377.00979198674867</x:v>
      </x:c>
      <x:c r="W53" s="66" t="n">
        <x:f>IF('Assumptions'!$D$7&lt;&gt;"Ready","Not supplied",W41*'Assumptions'!$D$24)</x:f>
        <x:v>382.6208693445817</x:v>
      </x:c>
      <x:c r="X53" s="66" t="n">
        <x:f>IF('Assumptions'!$D$7&lt;&gt;"Ready","Not supplied",X41*'Assumptions'!$D$24)</x:f>
        <x:v>388.1197251552581</x:v>
      </x:c>
      <x:c r="Y53" s="66" t="n">
        <x:f>IF('Assumptions'!$D$7&lt;&gt;"Ready","Not supplied",Y41*'Assumptions'!$D$24)</x:f>
        <x:v>393.5086038497209</x:v>
      </x:c>
      <x:c r="Z53" s="66" t="n">
        <x:f>IF('Assumptions'!$D$7&lt;&gt;"Ready","Not supplied",Z41*'Assumptions'!$D$24)</x:f>
        <x:v>398.78970497029445</x:v>
      </x:c>
      <x:c r="AA53" s="66" t="n">
        <x:f>IF('Assumptions'!$D$7&lt;&gt;"Ready","Not supplied",AA41*'Assumptions'!$D$24)</x:f>
        <x:v>403.96518406845655</x:v>
      </x:c>
    </x:row>
    <x:row r="54" ht="21" customHeight="1">
      <x:c r="A54" s="50"/>
      <x:c r="B54" s="50"/>
      <x:c r="C54" s="50" t="str">
        <x:v>B2B variable costs</x:v>
      </x:c>
      <x:c r="D54" s="66" t="n">
        <x:f>IF('Assumptions'!$D$7&lt;&gt;"Ready","Not supplied",D48*(1-'Assumptions'!$D$28))</x:f>
        <x:v>2750</x:v>
      </x:c>
      <x:c r="E54" s="66" t="n">
        <x:f>IF('Assumptions'!$D$7&lt;&gt;"Ready","Not supplied",E48*(1-'Assumptions'!$D$28))</x:f>
        <x:v>2750</x:v>
      </x:c>
      <x:c r="F54" s="66" t="n">
        <x:f>IF('Assumptions'!$D$7&lt;&gt;"Ready","Not supplied",F48*(1-'Assumptions'!$D$28))</x:f>
        <x:v>2796.2000000000003</x:v>
      </x:c>
      <x:c r="G54" s="66" t="n">
        <x:f>IF('Assumptions'!$D$7&lt;&gt;"Ready","Not supplied",G48*(1-'Assumptions'!$D$28))</x:f>
        <x:v>2842.4</x:v>
      </x:c>
      <x:c r="H54" s="66" t="n">
        <x:f>IF('Assumptions'!$D$7&lt;&gt;"Ready","Not supplied",H48*(1-'Assumptions'!$D$28))</x:f>
        <x:v>2888.6000000000004</x:v>
      </x:c>
      <x:c r="I54" s="66" t="n">
        <x:f>IF('Assumptions'!$D$7&lt;&gt;"Ready","Not supplied",I48*(1-'Assumptions'!$D$28))</x:f>
        <x:v>2934.8</x:v>
      </x:c>
      <x:c r="J54" s="66" t="n">
        <x:f>IF('Assumptions'!$D$7&lt;&gt;"Ready","Not supplied",J48*(1-'Assumptions'!$D$28))</x:f>
        <x:v>2934.8</x:v>
      </x:c>
      <x:c r="K54" s="66" t="n">
        <x:f>IF('Assumptions'!$D$7&lt;&gt;"Ready","Not supplied",K48*(1-'Assumptions'!$D$28))</x:f>
        <x:v>2934.8</x:v>
      </x:c>
      <x:c r="L54" s="66" t="n">
        <x:f>IF('Assumptions'!$D$7&lt;&gt;"Ready","Not supplied",L48*(1-'Assumptions'!$D$28))</x:f>
        <x:v>2934.8</x:v>
      </x:c>
      <x:c r="M54" s="66" t="n">
        <x:f>IF('Assumptions'!$D$7&lt;&gt;"Ready","Not supplied",M48*(1-'Assumptions'!$D$28))</x:f>
        <x:v>2934.8</x:v>
      </x:c>
      <x:c r="N54" s="66" t="n">
        <x:f>IF('Assumptions'!$D$7&lt;&gt;"Ready","Not supplied",N48*(1-'Assumptions'!$D$28))</x:f>
        <x:v>2934.8</x:v>
      </x:c>
      <x:c r="O54" s="66" t="n">
        <x:f>IF('Assumptions'!$D$7&lt;&gt;"Ready","Not supplied",O48*(1-'Assumptions'!$D$28))</x:f>
        <x:v>2934.8</x:v>
      </x:c>
      <x:c r="P54" s="66" t="n">
        <x:f>IF('Assumptions'!$D$7&lt;&gt;"Ready","Not supplied",P48*(1-'Assumptions'!$D$28))</x:f>
        <x:v>2934.8</x:v>
      </x:c>
      <x:c r="Q54" s="66" t="n">
        <x:f>IF('Assumptions'!$D$7&lt;&gt;"Ready","Not supplied",Q48*(1-'Assumptions'!$D$28))</x:f>
        <x:v>2934.8</x:v>
      </x:c>
      <x:c r="R54" s="66" t="n">
        <x:f>IF('Assumptions'!$D$7&lt;&gt;"Ready","Not supplied",R48*(1-'Assumptions'!$D$28))</x:f>
        <x:v>2934.8</x:v>
      </x:c>
      <x:c r="S54" s="66" t="n">
        <x:f>IF('Assumptions'!$D$7&lt;&gt;"Ready","Not supplied",S48*(1-'Assumptions'!$D$28))</x:f>
        <x:v>2934.8</x:v>
      </x:c>
      <x:c r="T54" s="66" t="n">
        <x:f>IF('Assumptions'!$D$7&lt;&gt;"Ready","Not supplied",T48*(1-'Assumptions'!$D$28))</x:f>
        <x:v>2934.8</x:v>
      </x:c>
      <x:c r="U54" s="66" t="n">
        <x:f>IF('Assumptions'!$D$7&lt;&gt;"Ready","Not supplied",U48*(1-'Assumptions'!$D$28))</x:f>
        <x:v>2934.8</x:v>
      </x:c>
      <x:c r="V54" s="66" t="n">
        <x:f>IF('Assumptions'!$D$7&lt;&gt;"Ready","Not supplied",V48*(1-'Assumptions'!$D$28))</x:f>
        <x:v>2934.8</x:v>
      </x:c>
      <x:c r="W54" s="66" t="n">
        <x:f>IF('Assumptions'!$D$7&lt;&gt;"Ready","Not supplied",W48*(1-'Assumptions'!$D$28))</x:f>
        <x:v>2934.8</x:v>
      </x:c>
      <x:c r="X54" s="66" t="n">
        <x:f>IF('Assumptions'!$D$7&lt;&gt;"Ready","Not supplied",X48*(1-'Assumptions'!$D$28))</x:f>
        <x:v>2934.8</x:v>
      </x:c>
      <x:c r="Y54" s="66" t="n">
        <x:f>IF('Assumptions'!$D$7&lt;&gt;"Ready","Not supplied",Y48*(1-'Assumptions'!$D$28))</x:f>
        <x:v>2934.8</x:v>
      </x:c>
      <x:c r="Z54" s="66" t="n">
        <x:f>IF('Assumptions'!$D$7&lt;&gt;"Ready","Not supplied",Z48*(1-'Assumptions'!$D$28))</x:f>
        <x:v>2934.8</x:v>
      </x:c>
      <x:c r="AA54" s="66" t="n">
        <x:f>IF('Assumptions'!$D$7&lt;&gt;"Ready","Not supplied",AA48*(1-'Assumptions'!$D$28))</x:f>
        <x:v>2934.8</x:v>
      </x:c>
    </x:row>
    <x:row r="55" ht="21" customHeight="1">
      <x:c r="A55" s="50"/>
      <x:c r="B55" s="50"/>
      <x:c r="C55" s="56" t="str">
        <x:v>Contribution before acquisition</x:v>
      </x:c>
      <x:c r="D55" s="79" t="n">
        <x:f>IF('Assumptions'!$D$7&lt;&gt;"Ready","Not supplied",D49-SUM(D50:D54))</x:f>
        <x:v>12906</x:v>
      </x:c>
      <x:c r="E55" s="79" t="n">
        <x:f>IF('Assumptions'!$D$7&lt;&gt;"Ready","Not supplied",E49-SUM(E50:E54))</x:f>
        <x:v>13218.576000000003</x:v>
      </x:c>
      <x:c r="F55" s="79" t="n">
        <x:f>IF('Assumptions'!$D$7&lt;&gt;"Ready","Not supplied",F49-SUM(F50:F54))</x:f>
        <x:v>13779.644223467523</x:v>
      </x:c>
      <x:c r="G55" s="79" t="n">
        <x:f>IF('Assumptions'!$D$7&lt;&gt;"Ready","Not supplied",G49-SUM(G50:G54))</x:f>
        <x:v>14353.604020599178</x:v>
      </x:c>
      <x:c r="H55" s="79" t="n">
        <x:f>IF('Assumptions'!$D$7&lt;&gt;"Ready","Not supplied",H49-SUM(H50:H54))</x:f>
        <x:v>14940.582905700752</x:v>
      </x:c>
      <x:c r="I55" s="79" t="n">
        <x:f>IF('Assumptions'!$D$7&lt;&gt;"Ready","Not supplied",I49-SUM(I50:I54))</x:f>
        <x:v>15540.710961257348</x:v>
      </x:c>
      <x:c r="J55" s="79" t="n">
        <x:f>IF('Assumptions'!$D$7&lt;&gt;"Ready","Not supplied",J49-SUM(J50:J54))</x:f>
        <x:v>15868.200384028129</x:v>
      </x:c>
      <x:c r="K55" s="79" t="n">
        <x:f>IF('Assumptions'!$D$7&lt;&gt;"Ready","Not supplied",K49-SUM(K50:K54))</x:f>
        <x:v>16189.1400183435</x:v>
      </x:c>
      <x:c r="L55" s="79" t="n">
        <x:f>IF('Assumptions'!$D$7&lt;&gt;"Ready","Not supplied",L49-SUM(L50:L54))</x:f>
        <x:v>16503.66085997256</x:v>
      </x:c>
      <x:c r="M55" s="79" t="n">
        <x:f>IF('Assumptions'!$D$7&lt;&gt;"Ready","Not supplied",M49-SUM(M50:M54))</x:f>
        <x:v>16811.891284769037</x:v>
      </x:c>
      <x:c r="N55" s="79" t="n">
        <x:f>IF('Assumptions'!$D$7&lt;&gt;"Ready","Not supplied",N49-SUM(N50:N54))</x:f>
        <x:v>17113.95710106959</x:v>
      </x:c>
      <x:c r="O55" s="79" t="n">
        <x:f>IF('Assumptions'!$D$7&lt;&gt;"Ready","Not supplied",O49-SUM(O50:O54))</x:f>
        <x:v>17409.98160104413</x:v>
      </x:c>
      <x:c r="P55" s="79" t="n">
        <x:f>IF('Assumptions'!$D$7&lt;&gt;"Ready","Not supplied",P49-SUM(P50:P54))</x:f>
        <x:v>17700.085611019178</x:v>
      </x:c>
      <x:c r="Q55" s="79" t="n">
        <x:f>IF('Assumptions'!$D$7&lt;&gt;"Ready","Not supplied",Q49-SUM(Q50:Q54))</x:f>
        <x:v>17984.387540794723</x:v>
      </x:c>
      <x:c r="R55" s="79" t="n">
        <x:f>IF('Assumptions'!$D$7&lt;&gt;"Ready","Not supplied",R49-SUM(R50:R54))</x:f>
        <x:v>18263.003431974757</x:v>
      </x:c>
      <x:c r="S55" s="79" t="n">
        <x:f>IF('Assumptions'!$D$7&lt;&gt;"Ready","Not supplied",S49-SUM(S50:S54))</x:f>
        <x:v>18536.04700533119</x:v>
      </x:c>
      <x:c r="T55" s="79" t="n">
        <x:f>IF('Assumptions'!$D$7&lt;&gt;"Ready","Not supplied",T49-SUM(T50:T54))</x:f>
        <x:v>18803.6297072205</x:v>
      </x:c>
      <x:c r="U55" s="79" t="n">
        <x:f>IF('Assumptions'!$D$7&lt;&gt;"Ready","Not supplied",U49-SUM(U50:U54))</x:f>
        <x:v>19065.860755072023</x:v>
      </x:c>
      <x:c r="V55" s="79" t="n">
        <x:f>IF('Assumptions'!$D$7&lt;&gt;"Ready","Not supplied",V49-SUM(V50:V54))</x:f>
        <x:v>19322.847181966503</x:v>
      </x:c>
      <x:c r="W55" s="79" t="n">
        <x:f>IF('Assumptions'!$D$7&lt;&gt;"Ready","Not supplied",W49-SUM(W50:W54))</x:f>
        <x:v>19574.693880323106</x:v>
      </x:c>
      <x:c r="X55" s="79" t="n">
        <x:f>IF('Assumptions'!$D$7&lt;&gt;"Ready","Not supplied",X49-SUM(X50:X54))</x:f>
        <x:v>19821.50364471258</x:v>
      </x:c>
      <x:c r="Y55" s="79" t="n">
        <x:f>IF('Assumptions'!$D$7&lt;&gt;"Ready","Not supplied",Y49-SUM(Y50:Y54))</x:f>
        <x:v>20063.37721381426</x:v>
      </x:c>
      <x:c r="Z55" s="79" t="n">
        <x:f>IF('Assumptions'!$D$7&lt;&gt;"Ready","Not supplied",Z49-SUM(Z50:Z54))</x:f>
        <x:v>20300.413311533906</x:v>
      </x:c>
      <x:c r="AA55" s="79" t="n">
        <x:f>IF('Assumptions'!$D$7&lt;&gt;"Ready","Not supplied",AA49-SUM(AA50:AA54))</x:f>
        <x:v>20532.708687299157</x:v>
      </x:c>
    </x:row>
    <x:row r="56" ht="21" customHeight="1">
      <x:c r="A56" s="50"/>
      <x:c r="B56" s="50"/>
      <x:c r="C56" s="50" t="str">
        <x:v>Baseline acquisition</x:v>
      </x:c>
      <x:c r="D56" s="66" t="n">
        <x:f>IF('Assumptions'!$D$7&lt;&gt;"Ready","Not supplied",D28)</x:f>
        <x:v>2000</x:v>
      </x:c>
      <x:c r="E56" s="66" t="n">
        <x:f>IF('Assumptions'!$D$7&lt;&gt;"Ready","Not supplied",E28)</x:f>
        <x:v>2000</x:v>
      </x:c>
      <x:c r="F56" s="66" t="n">
        <x:f>IF('Assumptions'!$D$7&lt;&gt;"Ready","Not supplied",F28)</x:f>
        <x:v>2000</x:v>
      </x:c>
      <x:c r="G56" s="66" t="n">
        <x:f>IF('Assumptions'!$D$7&lt;&gt;"Ready","Not supplied",G28)</x:f>
        <x:v>2000</x:v>
      </x:c>
      <x:c r="H56" s="66" t="n">
        <x:f>IF('Assumptions'!$D$7&lt;&gt;"Ready","Not supplied",H28)</x:f>
        <x:v>2000</x:v>
      </x:c>
      <x:c r="I56" s="66" t="n">
        <x:f>IF('Assumptions'!$D$7&lt;&gt;"Ready","Not supplied",I28)</x:f>
        <x:v>2000</x:v>
      </x:c>
      <x:c r="J56" s="66" t="n">
        <x:f>IF('Assumptions'!$D$7&lt;&gt;"Ready","Not supplied",J28)</x:f>
        <x:v>2000</x:v>
      </x:c>
      <x:c r="K56" s="66" t="n">
        <x:f>IF('Assumptions'!$D$7&lt;&gt;"Ready","Not supplied",K28)</x:f>
        <x:v>2000</x:v>
      </x:c>
      <x:c r="L56" s="66" t="n">
        <x:f>IF('Assumptions'!$D$7&lt;&gt;"Ready","Not supplied",L28)</x:f>
        <x:v>2000</x:v>
      </x:c>
      <x:c r="M56" s="66" t="n">
        <x:f>IF('Assumptions'!$D$7&lt;&gt;"Ready","Not supplied",M28)</x:f>
        <x:v>2000</x:v>
      </x:c>
      <x:c r="N56" s="66" t="n">
        <x:f>IF('Assumptions'!$D$7&lt;&gt;"Ready","Not supplied",N28)</x:f>
        <x:v>2000</x:v>
      </x:c>
      <x:c r="O56" s="66" t="n">
        <x:f>IF('Assumptions'!$D$7&lt;&gt;"Ready","Not supplied",O28)</x:f>
        <x:v>2000</x:v>
      </x:c>
      <x:c r="P56" s="66" t="n">
        <x:f>IF('Assumptions'!$D$7&lt;&gt;"Ready","Not supplied",P28)</x:f>
        <x:v>2000</x:v>
      </x:c>
      <x:c r="Q56" s="66" t="n">
        <x:f>IF('Assumptions'!$D$7&lt;&gt;"Ready","Not supplied",Q28)</x:f>
        <x:v>2000</x:v>
      </x:c>
      <x:c r="R56" s="66" t="n">
        <x:f>IF('Assumptions'!$D$7&lt;&gt;"Ready","Not supplied",R28)</x:f>
        <x:v>2000</x:v>
      </x:c>
      <x:c r="S56" s="66" t="n">
        <x:f>IF('Assumptions'!$D$7&lt;&gt;"Ready","Not supplied",S28)</x:f>
        <x:v>2000</x:v>
      </x:c>
      <x:c r="T56" s="66" t="n">
        <x:f>IF('Assumptions'!$D$7&lt;&gt;"Ready","Not supplied",T28)</x:f>
        <x:v>2000</x:v>
      </x:c>
      <x:c r="U56" s="66" t="n">
        <x:f>IF('Assumptions'!$D$7&lt;&gt;"Ready","Not supplied",U28)</x:f>
        <x:v>2000</x:v>
      </x:c>
      <x:c r="V56" s="66" t="n">
        <x:f>IF('Assumptions'!$D$7&lt;&gt;"Ready","Not supplied",V28)</x:f>
        <x:v>2000</x:v>
      </x:c>
      <x:c r="W56" s="66" t="n">
        <x:f>IF('Assumptions'!$D$7&lt;&gt;"Ready","Not supplied",W28)</x:f>
        <x:v>2000</x:v>
      </x:c>
      <x:c r="X56" s="66" t="n">
        <x:f>IF('Assumptions'!$D$7&lt;&gt;"Ready","Not supplied",X28)</x:f>
        <x:v>2000</x:v>
      </x:c>
      <x:c r="Y56" s="66" t="n">
        <x:f>IF('Assumptions'!$D$7&lt;&gt;"Ready","Not supplied",Y28)</x:f>
        <x:v>2000</x:v>
      </x:c>
      <x:c r="Z56" s="66" t="n">
        <x:f>IF('Assumptions'!$D$7&lt;&gt;"Ready","Not supplied",Z28)</x:f>
        <x:v>2000</x:v>
      </x:c>
      <x:c r="AA56" s="66" t="n">
        <x:f>IF('Assumptions'!$D$7&lt;&gt;"Ready","Not supplied",AA28)</x:f>
        <x:v>2000</x:v>
      </x:c>
    </x:row>
    <x:row r="57" ht="21" customHeight="1">
      <x:c r="A57" s="50"/>
      <x:c r="B57" s="50"/>
      <x:c r="C57" s="50" t="str">
        <x:v>Baseline fixed operations</x:v>
      </x:c>
      <x:c r="D57" s="66" t="n">
        <x:f>IF('Assumptions'!$D$7&lt;&gt;"Ready","Not supplied",D29)</x:f>
        <x:v>6000</x:v>
      </x:c>
      <x:c r="E57" s="66" t="n">
        <x:f>IF('Assumptions'!$D$7&lt;&gt;"Ready","Not supplied",E29)</x:f>
        <x:v>6000</x:v>
      </x:c>
      <x:c r="F57" s="66" t="n">
        <x:f>IF('Assumptions'!$D$7&lt;&gt;"Ready","Not supplied",F29)</x:f>
        <x:v>6000</x:v>
      </x:c>
      <x:c r="G57" s="66" t="n">
        <x:f>IF('Assumptions'!$D$7&lt;&gt;"Ready","Not supplied",G29)</x:f>
        <x:v>6000</x:v>
      </x:c>
      <x:c r="H57" s="66" t="n">
        <x:f>IF('Assumptions'!$D$7&lt;&gt;"Ready","Not supplied",H29)</x:f>
        <x:v>6000</x:v>
      </x:c>
      <x:c r="I57" s="66" t="n">
        <x:f>IF('Assumptions'!$D$7&lt;&gt;"Ready","Not supplied",I29)</x:f>
        <x:v>6000</x:v>
      </x:c>
      <x:c r="J57" s="66" t="n">
        <x:f>IF('Assumptions'!$D$7&lt;&gt;"Ready","Not supplied",J29)</x:f>
        <x:v>6000</x:v>
      </x:c>
      <x:c r="K57" s="66" t="n">
        <x:f>IF('Assumptions'!$D$7&lt;&gt;"Ready","Not supplied",K29)</x:f>
        <x:v>6000</x:v>
      </x:c>
      <x:c r="L57" s="66" t="n">
        <x:f>IF('Assumptions'!$D$7&lt;&gt;"Ready","Not supplied",L29)</x:f>
        <x:v>6000</x:v>
      </x:c>
      <x:c r="M57" s="66" t="n">
        <x:f>IF('Assumptions'!$D$7&lt;&gt;"Ready","Not supplied",M29)</x:f>
        <x:v>6000</x:v>
      </x:c>
      <x:c r="N57" s="66" t="n">
        <x:f>IF('Assumptions'!$D$7&lt;&gt;"Ready","Not supplied",N29)</x:f>
        <x:v>6000</x:v>
      </x:c>
      <x:c r="O57" s="66" t="n">
        <x:f>IF('Assumptions'!$D$7&lt;&gt;"Ready","Not supplied",O29)</x:f>
        <x:v>6000</x:v>
      </x:c>
      <x:c r="P57" s="66" t="n">
        <x:f>IF('Assumptions'!$D$7&lt;&gt;"Ready","Not supplied",P29)</x:f>
        <x:v>6000</x:v>
      </x:c>
      <x:c r="Q57" s="66" t="n">
        <x:f>IF('Assumptions'!$D$7&lt;&gt;"Ready","Not supplied",Q29)</x:f>
        <x:v>6000</x:v>
      </x:c>
      <x:c r="R57" s="66" t="n">
        <x:f>IF('Assumptions'!$D$7&lt;&gt;"Ready","Not supplied",R29)</x:f>
        <x:v>6000</x:v>
      </x:c>
      <x:c r="S57" s="66" t="n">
        <x:f>IF('Assumptions'!$D$7&lt;&gt;"Ready","Not supplied",S29)</x:f>
        <x:v>6000</x:v>
      </x:c>
      <x:c r="T57" s="66" t="n">
        <x:f>IF('Assumptions'!$D$7&lt;&gt;"Ready","Not supplied",T29)</x:f>
        <x:v>6000</x:v>
      </x:c>
      <x:c r="U57" s="66" t="n">
        <x:f>IF('Assumptions'!$D$7&lt;&gt;"Ready","Not supplied",U29)</x:f>
        <x:v>6000</x:v>
      </x:c>
      <x:c r="V57" s="66" t="n">
        <x:f>IF('Assumptions'!$D$7&lt;&gt;"Ready","Not supplied",V29)</x:f>
        <x:v>6000</x:v>
      </x:c>
      <x:c r="W57" s="66" t="n">
        <x:f>IF('Assumptions'!$D$7&lt;&gt;"Ready","Not supplied",W29)</x:f>
        <x:v>6000</x:v>
      </x:c>
      <x:c r="X57" s="66" t="n">
        <x:f>IF('Assumptions'!$D$7&lt;&gt;"Ready","Not supplied",X29)</x:f>
        <x:v>6000</x:v>
      </x:c>
      <x:c r="Y57" s="66" t="n">
        <x:f>IF('Assumptions'!$D$7&lt;&gt;"Ready","Not supplied",Y29)</x:f>
        <x:v>6000</x:v>
      </x:c>
      <x:c r="Z57" s="66" t="n">
        <x:f>IF('Assumptions'!$D$7&lt;&gt;"Ready","Not supplied",Z29)</x:f>
        <x:v>6000</x:v>
      </x:c>
      <x:c r="AA57" s="66" t="n">
        <x:f>IF('Assumptions'!$D$7&lt;&gt;"Ready","Not supplied",AA29)</x:f>
        <x:v>6000</x:v>
      </x:c>
    </x:row>
    <x:row r="58" ht="21" customHeight="1">
      <x:c r="A58" s="50"/>
      <x:c r="B58" s="50"/>
      <x:c r="C58" s="50" t="str">
        <x:v>Incremental paid marketing</x:v>
      </x:c>
      <x:c r="D58" s="66" t="n">
        <x:f>IF('Assumptions'!$D$7&lt;&gt;"Ready","Not supplied",IF(D8&gt;='Assumptions'!$D$35,'Assumptions'!$D$110*'Assumptions'!$D$6,0))</x:f>
        <x:v>0</x:v>
      </x:c>
      <x:c r="E58" s="66" t="n">
        <x:f>IF('Assumptions'!$D$7&lt;&gt;"Ready","Not supplied",IF(E8&gt;='Assumptions'!$D$35,'Assumptions'!$D$110*'Assumptions'!$D$6,0))</x:f>
        <x:v>0</x:v>
      </x:c>
      <x:c r="F58" s="66" t="n">
        <x:f>IF('Assumptions'!$D$7&lt;&gt;"Ready","Not supplied",IF(F8&gt;='Assumptions'!$D$35,'Assumptions'!$D$110*'Assumptions'!$D$6,0))</x:f>
        <x:v>600</x:v>
      </x:c>
      <x:c r="G58" s="66" t="n">
        <x:f>IF('Assumptions'!$D$7&lt;&gt;"Ready","Not supplied",IF(G8&gt;='Assumptions'!$D$35,'Assumptions'!$D$110*'Assumptions'!$D$6,0))</x:f>
        <x:v>600</x:v>
      </x:c>
      <x:c r="H58" s="66" t="n">
        <x:f>IF('Assumptions'!$D$7&lt;&gt;"Ready","Not supplied",IF(H8&gt;='Assumptions'!$D$35,'Assumptions'!$D$110*'Assumptions'!$D$6,0))</x:f>
        <x:v>600</x:v>
      </x:c>
      <x:c r="I58" s="66" t="n">
        <x:f>IF('Assumptions'!$D$7&lt;&gt;"Ready","Not supplied",IF(I8&gt;='Assumptions'!$D$35,'Assumptions'!$D$110*'Assumptions'!$D$6,0))</x:f>
        <x:v>600</x:v>
      </x:c>
      <x:c r="J58" s="66" t="n">
        <x:f>IF('Assumptions'!$D$7&lt;&gt;"Ready","Not supplied",IF(J8&gt;='Assumptions'!$D$35,'Assumptions'!$D$110*'Assumptions'!$D$6,0))</x:f>
        <x:v>600</x:v>
      </x:c>
      <x:c r="K58" s="66" t="n">
        <x:f>IF('Assumptions'!$D$7&lt;&gt;"Ready","Not supplied",IF(K8&gt;='Assumptions'!$D$35,'Assumptions'!$D$110*'Assumptions'!$D$6,0))</x:f>
        <x:v>600</x:v>
      </x:c>
      <x:c r="L58" s="66" t="n">
        <x:f>IF('Assumptions'!$D$7&lt;&gt;"Ready","Not supplied",IF(L8&gt;='Assumptions'!$D$35,'Assumptions'!$D$110*'Assumptions'!$D$6,0))</x:f>
        <x:v>600</x:v>
      </x:c>
      <x:c r="M58" s="66" t="n">
        <x:f>IF('Assumptions'!$D$7&lt;&gt;"Ready","Not supplied",IF(M8&gt;='Assumptions'!$D$35,'Assumptions'!$D$110*'Assumptions'!$D$6,0))</x:f>
        <x:v>600</x:v>
      </x:c>
      <x:c r="N58" s="66" t="n">
        <x:f>IF('Assumptions'!$D$7&lt;&gt;"Ready","Not supplied",IF(N8&gt;='Assumptions'!$D$35,'Assumptions'!$D$110*'Assumptions'!$D$6,0))</x:f>
        <x:v>600</x:v>
      </x:c>
      <x:c r="O58" s="66" t="n">
        <x:f>IF('Assumptions'!$D$7&lt;&gt;"Ready","Not supplied",IF(O8&gt;='Assumptions'!$D$35,'Assumptions'!$D$110*'Assumptions'!$D$6,0))</x:f>
        <x:v>600</x:v>
      </x:c>
      <x:c r="P58" s="66" t="n">
        <x:f>IF('Assumptions'!$D$7&lt;&gt;"Ready","Not supplied",IF(P8&gt;='Assumptions'!$D$35,'Assumptions'!$D$110*'Assumptions'!$D$6,0))</x:f>
        <x:v>600</x:v>
      </x:c>
      <x:c r="Q58" s="66" t="n">
        <x:f>IF('Assumptions'!$D$7&lt;&gt;"Ready","Not supplied",IF(Q8&gt;='Assumptions'!$D$35,'Assumptions'!$D$110*'Assumptions'!$D$6,0))</x:f>
        <x:v>600</x:v>
      </x:c>
      <x:c r="R58" s="66" t="n">
        <x:f>IF('Assumptions'!$D$7&lt;&gt;"Ready","Not supplied",IF(R8&gt;='Assumptions'!$D$35,'Assumptions'!$D$110*'Assumptions'!$D$6,0))</x:f>
        <x:v>600</x:v>
      </x:c>
      <x:c r="S58" s="66" t="n">
        <x:f>IF('Assumptions'!$D$7&lt;&gt;"Ready","Not supplied",IF(S8&gt;='Assumptions'!$D$35,'Assumptions'!$D$110*'Assumptions'!$D$6,0))</x:f>
        <x:v>600</x:v>
      </x:c>
      <x:c r="T58" s="66" t="n">
        <x:f>IF('Assumptions'!$D$7&lt;&gt;"Ready","Not supplied",IF(T8&gt;='Assumptions'!$D$35,'Assumptions'!$D$110*'Assumptions'!$D$6,0))</x:f>
        <x:v>600</x:v>
      </x:c>
      <x:c r="U58" s="66" t="n">
        <x:f>IF('Assumptions'!$D$7&lt;&gt;"Ready","Not supplied",IF(U8&gt;='Assumptions'!$D$35,'Assumptions'!$D$110*'Assumptions'!$D$6,0))</x:f>
        <x:v>600</x:v>
      </x:c>
      <x:c r="V58" s="66" t="n">
        <x:f>IF('Assumptions'!$D$7&lt;&gt;"Ready","Not supplied",IF(V8&gt;='Assumptions'!$D$35,'Assumptions'!$D$110*'Assumptions'!$D$6,0))</x:f>
        <x:v>600</x:v>
      </x:c>
      <x:c r="W58" s="66" t="n">
        <x:f>IF('Assumptions'!$D$7&lt;&gt;"Ready","Not supplied",IF(W8&gt;='Assumptions'!$D$35,'Assumptions'!$D$110*'Assumptions'!$D$6,0))</x:f>
        <x:v>600</x:v>
      </x:c>
      <x:c r="X58" s="66" t="n">
        <x:f>IF('Assumptions'!$D$7&lt;&gt;"Ready","Not supplied",IF(X8&gt;='Assumptions'!$D$35,'Assumptions'!$D$110*'Assumptions'!$D$6,0))</x:f>
        <x:v>600</x:v>
      </x:c>
      <x:c r="Y58" s="66" t="n">
        <x:f>IF('Assumptions'!$D$7&lt;&gt;"Ready","Not supplied",IF(Y8&gt;='Assumptions'!$D$35,'Assumptions'!$D$110*'Assumptions'!$D$6,0))</x:f>
        <x:v>600</x:v>
      </x:c>
      <x:c r="Z58" s="66" t="n">
        <x:f>IF('Assumptions'!$D$7&lt;&gt;"Ready","Not supplied",IF(Z8&gt;='Assumptions'!$D$35,'Assumptions'!$D$110*'Assumptions'!$D$6,0))</x:f>
        <x:v>600</x:v>
      </x:c>
      <x:c r="AA58" s="66" t="n">
        <x:f>IF('Assumptions'!$D$7&lt;&gt;"Ready","Not supplied",IF(AA8&gt;='Assumptions'!$D$35,'Assumptions'!$D$110*'Assumptions'!$D$6,0))</x:f>
        <x:v>600</x:v>
      </x:c>
    </x:row>
    <x:row r="59" ht="21" customHeight="1">
      <x:c r="A59" s="50"/>
      <x:c r="B59" s="50"/>
      <x:c r="C59" s="50" t="str">
        <x:v>Tools / content / support</x:v>
      </x:c>
      <x:c r="D59" s="66" t="n">
        <x:f>IF('Assumptions'!$D$7&lt;&gt;"Ready","Not supplied",IF(D8&gt;='Assumptions'!$D$35,SUM('Assumptions'!$D$95,'Assumptions'!$D$100,'Assumptions'!$D$105)*'Assumptions'!$D$6,0))</x:f>
        <x:v>0</x:v>
      </x:c>
      <x:c r="E59" s="66" t="n">
        <x:f>IF('Assumptions'!$D$7&lt;&gt;"Ready","Not supplied",IF(E8&gt;='Assumptions'!$D$35,SUM('Assumptions'!$D$95,'Assumptions'!$D$100,'Assumptions'!$D$105)*'Assumptions'!$D$6,0))</x:f>
        <x:v>0</x:v>
      </x:c>
      <x:c r="F59" s="66" t="n">
        <x:f>IF('Assumptions'!$D$7&lt;&gt;"Ready","Not supplied",IF(F8&gt;='Assumptions'!$D$35,SUM('Assumptions'!$D$95,'Assumptions'!$D$100,'Assumptions'!$D$105)*'Assumptions'!$D$6,0))</x:f>
        <x:v>750</x:v>
      </x:c>
      <x:c r="G59" s="66" t="n">
        <x:f>IF('Assumptions'!$D$7&lt;&gt;"Ready","Not supplied",IF(G8&gt;='Assumptions'!$D$35,SUM('Assumptions'!$D$95,'Assumptions'!$D$100,'Assumptions'!$D$105)*'Assumptions'!$D$6,0))</x:f>
        <x:v>750</x:v>
      </x:c>
      <x:c r="H59" s="66" t="n">
        <x:f>IF('Assumptions'!$D$7&lt;&gt;"Ready","Not supplied",IF(H8&gt;='Assumptions'!$D$35,SUM('Assumptions'!$D$95,'Assumptions'!$D$100,'Assumptions'!$D$105)*'Assumptions'!$D$6,0))</x:f>
        <x:v>750</x:v>
      </x:c>
      <x:c r="I59" s="66" t="n">
        <x:f>IF('Assumptions'!$D$7&lt;&gt;"Ready","Not supplied",IF(I8&gt;='Assumptions'!$D$35,SUM('Assumptions'!$D$95,'Assumptions'!$D$100,'Assumptions'!$D$105)*'Assumptions'!$D$6,0))</x:f>
        <x:v>750</x:v>
      </x:c>
      <x:c r="J59" s="66" t="n">
        <x:f>IF('Assumptions'!$D$7&lt;&gt;"Ready","Not supplied",IF(J8&gt;='Assumptions'!$D$35,SUM('Assumptions'!$D$95,'Assumptions'!$D$100,'Assumptions'!$D$105)*'Assumptions'!$D$6,0))</x:f>
        <x:v>750</x:v>
      </x:c>
      <x:c r="K59" s="66" t="n">
        <x:f>IF('Assumptions'!$D$7&lt;&gt;"Ready","Not supplied",IF(K8&gt;='Assumptions'!$D$35,SUM('Assumptions'!$D$95,'Assumptions'!$D$100,'Assumptions'!$D$105)*'Assumptions'!$D$6,0))</x:f>
        <x:v>750</x:v>
      </x:c>
      <x:c r="L59" s="66" t="n">
        <x:f>IF('Assumptions'!$D$7&lt;&gt;"Ready","Not supplied",IF(L8&gt;='Assumptions'!$D$35,SUM('Assumptions'!$D$95,'Assumptions'!$D$100,'Assumptions'!$D$105)*'Assumptions'!$D$6,0))</x:f>
        <x:v>750</x:v>
      </x:c>
      <x:c r="M59" s="66" t="n">
        <x:f>IF('Assumptions'!$D$7&lt;&gt;"Ready","Not supplied",IF(M8&gt;='Assumptions'!$D$35,SUM('Assumptions'!$D$95,'Assumptions'!$D$100,'Assumptions'!$D$105)*'Assumptions'!$D$6,0))</x:f>
        <x:v>750</x:v>
      </x:c>
      <x:c r="N59" s="66" t="n">
        <x:f>IF('Assumptions'!$D$7&lt;&gt;"Ready","Not supplied",IF(N8&gt;='Assumptions'!$D$35,SUM('Assumptions'!$D$95,'Assumptions'!$D$100,'Assumptions'!$D$105)*'Assumptions'!$D$6,0))</x:f>
        <x:v>750</x:v>
      </x:c>
      <x:c r="O59" s="66" t="n">
        <x:f>IF('Assumptions'!$D$7&lt;&gt;"Ready","Not supplied",IF(O8&gt;='Assumptions'!$D$35,SUM('Assumptions'!$D$95,'Assumptions'!$D$100,'Assumptions'!$D$105)*'Assumptions'!$D$6,0))</x:f>
        <x:v>750</x:v>
      </x:c>
      <x:c r="P59" s="66" t="n">
        <x:f>IF('Assumptions'!$D$7&lt;&gt;"Ready","Not supplied",IF(P8&gt;='Assumptions'!$D$35,SUM('Assumptions'!$D$95,'Assumptions'!$D$100,'Assumptions'!$D$105)*'Assumptions'!$D$6,0))</x:f>
        <x:v>750</x:v>
      </x:c>
      <x:c r="Q59" s="66" t="n">
        <x:f>IF('Assumptions'!$D$7&lt;&gt;"Ready","Not supplied",IF(Q8&gt;='Assumptions'!$D$35,SUM('Assumptions'!$D$95,'Assumptions'!$D$100,'Assumptions'!$D$105)*'Assumptions'!$D$6,0))</x:f>
        <x:v>750</x:v>
      </x:c>
      <x:c r="R59" s="66" t="n">
        <x:f>IF('Assumptions'!$D$7&lt;&gt;"Ready","Not supplied",IF(R8&gt;='Assumptions'!$D$35,SUM('Assumptions'!$D$95,'Assumptions'!$D$100,'Assumptions'!$D$105)*'Assumptions'!$D$6,0))</x:f>
        <x:v>750</x:v>
      </x:c>
      <x:c r="S59" s="66" t="n">
        <x:f>IF('Assumptions'!$D$7&lt;&gt;"Ready","Not supplied",IF(S8&gt;='Assumptions'!$D$35,SUM('Assumptions'!$D$95,'Assumptions'!$D$100,'Assumptions'!$D$105)*'Assumptions'!$D$6,0))</x:f>
        <x:v>750</x:v>
      </x:c>
      <x:c r="T59" s="66" t="n">
        <x:f>IF('Assumptions'!$D$7&lt;&gt;"Ready","Not supplied",IF(T8&gt;='Assumptions'!$D$35,SUM('Assumptions'!$D$95,'Assumptions'!$D$100,'Assumptions'!$D$105)*'Assumptions'!$D$6,0))</x:f>
        <x:v>750</x:v>
      </x:c>
      <x:c r="U59" s="66" t="n">
        <x:f>IF('Assumptions'!$D$7&lt;&gt;"Ready","Not supplied",IF(U8&gt;='Assumptions'!$D$35,SUM('Assumptions'!$D$95,'Assumptions'!$D$100,'Assumptions'!$D$105)*'Assumptions'!$D$6,0))</x:f>
        <x:v>750</x:v>
      </x:c>
      <x:c r="V59" s="66" t="n">
        <x:f>IF('Assumptions'!$D$7&lt;&gt;"Ready","Not supplied",IF(V8&gt;='Assumptions'!$D$35,SUM('Assumptions'!$D$95,'Assumptions'!$D$100,'Assumptions'!$D$105)*'Assumptions'!$D$6,0))</x:f>
        <x:v>750</x:v>
      </x:c>
      <x:c r="W59" s="66" t="n">
        <x:f>IF('Assumptions'!$D$7&lt;&gt;"Ready","Not supplied",IF(W8&gt;='Assumptions'!$D$35,SUM('Assumptions'!$D$95,'Assumptions'!$D$100,'Assumptions'!$D$105)*'Assumptions'!$D$6,0))</x:f>
        <x:v>750</x:v>
      </x:c>
      <x:c r="X59" s="66" t="n">
        <x:f>IF('Assumptions'!$D$7&lt;&gt;"Ready","Not supplied",IF(X8&gt;='Assumptions'!$D$35,SUM('Assumptions'!$D$95,'Assumptions'!$D$100,'Assumptions'!$D$105)*'Assumptions'!$D$6,0))</x:f>
        <x:v>750</x:v>
      </x:c>
      <x:c r="Y59" s="66" t="n">
        <x:f>IF('Assumptions'!$D$7&lt;&gt;"Ready","Not supplied",IF(Y8&gt;='Assumptions'!$D$35,SUM('Assumptions'!$D$95,'Assumptions'!$D$100,'Assumptions'!$D$105)*'Assumptions'!$D$6,0))</x:f>
        <x:v>750</x:v>
      </x:c>
      <x:c r="Z59" s="66" t="n">
        <x:f>IF('Assumptions'!$D$7&lt;&gt;"Ready","Not supplied",IF(Z8&gt;='Assumptions'!$D$35,SUM('Assumptions'!$D$95,'Assumptions'!$D$100,'Assumptions'!$D$105)*'Assumptions'!$D$6,0))</x:f>
        <x:v>750</x:v>
      </x:c>
      <x:c r="AA59" s="66" t="n">
        <x:f>IF('Assumptions'!$D$7&lt;&gt;"Ready","Not supplied",IF(AA8&gt;='Assumptions'!$D$35,SUM('Assumptions'!$D$95,'Assumptions'!$D$100,'Assumptions'!$D$105)*'Assumptions'!$D$6,0))</x:f>
        <x:v>750</x:v>
      </x:c>
    </x:row>
    <x:row r="60" ht="21" customHeight="1">
      <x:c r="A60" s="50"/>
      <x:c r="B60" s="50"/>
      <x:c r="C60" s="50" t="str">
        <x:v>Optional voice service</x:v>
      </x:c>
      <x:c r="D60" s="66" t="n">
        <x:f>IF('Assumptions'!$D$7&lt;&gt;"Ready","Not supplied",'Assumptions'!$D$115*D35*D33*'Assumptions'!$D$120*'Assumptions'!$D$125*'Assumptions'!$D$6)</x:f>
        <x:v>0</x:v>
      </x:c>
      <x:c r="E60" s="66" t="n">
        <x:f>IF('Assumptions'!$D$7&lt;&gt;"Ready","Not supplied",'Assumptions'!$D$115*E35*E33*'Assumptions'!$D$120*'Assumptions'!$D$125*'Assumptions'!$D$6)</x:f>
        <x:v>0</x:v>
      </x:c>
      <x:c r="F60" s="66" t="n">
        <x:f>IF('Assumptions'!$D$7&lt;&gt;"Ready","Not supplied",'Assumptions'!$D$115*F35*F33*'Assumptions'!$D$120*'Assumptions'!$D$125*'Assumptions'!$D$6)</x:f>
        <x:v>0</x:v>
      </x:c>
      <x:c r="G60" s="66" t="n">
        <x:f>IF('Assumptions'!$D$7&lt;&gt;"Ready","Not supplied",'Assumptions'!$D$115*G35*G33*'Assumptions'!$D$120*'Assumptions'!$D$125*'Assumptions'!$D$6)</x:f>
        <x:v>0</x:v>
      </x:c>
      <x:c r="H60" s="66" t="n">
        <x:f>IF('Assumptions'!$D$7&lt;&gt;"Ready","Not supplied",'Assumptions'!$D$115*H35*H33*'Assumptions'!$D$120*'Assumptions'!$D$125*'Assumptions'!$D$6)</x:f>
        <x:v>0</x:v>
      </x:c>
      <x:c r="I60" s="66" t="n">
        <x:f>IF('Assumptions'!$D$7&lt;&gt;"Ready","Not supplied",'Assumptions'!$D$115*I35*I33*'Assumptions'!$D$120*'Assumptions'!$D$125*'Assumptions'!$D$6)</x:f>
        <x:v>0</x:v>
      </x:c>
      <x:c r="J60" s="66" t="n">
        <x:f>IF('Assumptions'!$D$7&lt;&gt;"Ready","Not supplied",'Assumptions'!$D$115*J35*J33*'Assumptions'!$D$120*'Assumptions'!$D$125*'Assumptions'!$D$6)</x:f>
        <x:v>0</x:v>
      </x:c>
      <x:c r="K60" s="66" t="n">
        <x:f>IF('Assumptions'!$D$7&lt;&gt;"Ready","Not supplied",'Assumptions'!$D$115*K35*K33*'Assumptions'!$D$120*'Assumptions'!$D$125*'Assumptions'!$D$6)</x:f>
        <x:v>0</x:v>
      </x:c>
      <x:c r="L60" s="66" t="n">
        <x:f>IF('Assumptions'!$D$7&lt;&gt;"Ready","Not supplied",'Assumptions'!$D$115*L35*L33*'Assumptions'!$D$120*'Assumptions'!$D$125*'Assumptions'!$D$6)</x:f>
        <x:v>0</x:v>
      </x:c>
      <x:c r="M60" s="66" t="n">
        <x:f>IF('Assumptions'!$D$7&lt;&gt;"Ready","Not supplied",'Assumptions'!$D$115*M35*M33*'Assumptions'!$D$120*'Assumptions'!$D$125*'Assumptions'!$D$6)</x:f>
        <x:v>0</x:v>
      </x:c>
      <x:c r="N60" s="66" t="n">
        <x:f>IF('Assumptions'!$D$7&lt;&gt;"Ready","Not supplied",'Assumptions'!$D$115*N35*N33*'Assumptions'!$D$120*'Assumptions'!$D$125*'Assumptions'!$D$6)</x:f>
        <x:v>0</x:v>
      </x:c>
      <x:c r="O60" s="66" t="n">
        <x:f>IF('Assumptions'!$D$7&lt;&gt;"Ready","Not supplied",'Assumptions'!$D$115*O35*O33*'Assumptions'!$D$120*'Assumptions'!$D$125*'Assumptions'!$D$6)</x:f>
        <x:v>0</x:v>
      </x:c>
      <x:c r="P60" s="66" t="n">
        <x:f>IF('Assumptions'!$D$7&lt;&gt;"Ready","Not supplied",'Assumptions'!$D$115*P35*P33*'Assumptions'!$D$120*'Assumptions'!$D$125*'Assumptions'!$D$6)</x:f>
        <x:v>0</x:v>
      </x:c>
      <x:c r="Q60" s="66" t="n">
        <x:f>IF('Assumptions'!$D$7&lt;&gt;"Ready","Not supplied",'Assumptions'!$D$115*Q35*Q33*'Assumptions'!$D$120*'Assumptions'!$D$125*'Assumptions'!$D$6)</x:f>
        <x:v>0</x:v>
      </x:c>
      <x:c r="R60" s="66" t="n">
        <x:f>IF('Assumptions'!$D$7&lt;&gt;"Ready","Not supplied",'Assumptions'!$D$115*R35*R33*'Assumptions'!$D$120*'Assumptions'!$D$125*'Assumptions'!$D$6)</x:f>
        <x:v>0</x:v>
      </x:c>
      <x:c r="S60" s="66" t="n">
        <x:f>IF('Assumptions'!$D$7&lt;&gt;"Ready","Not supplied",'Assumptions'!$D$115*S35*S33*'Assumptions'!$D$120*'Assumptions'!$D$125*'Assumptions'!$D$6)</x:f>
        <x:v>0</x:v>
      </x:c>
      <x:c r="T60" s="66" t="n">
        <x:f>IF('Assumptions'!$D$7&lt;&gt;"Ready","Not supplied",'Assumptions'!$D$115*T35*T33*'Assumptions'!$D$120*'Assumptions'!$D$125*'Assumptions'!$D$6)</x:f>
        <x:v>0</x:v>
      </x:c>
      <x:c r="U60" s="66" t="n">
        <x:f>IF('Assumptions'!$D$7&lt;&gt;"Ready","Not supplied",'Assumptions'!$D$115*U35*U33*'Assumptions'!$D$120*'Assumptions'!$D$125*'Assumptions'!$D$6)</x:f>
        <x:v>0</x:v>
      </x:c>
      <x:c r="V60" s="66" t="n">
        <x:f>IF('Assumptions'!$D$7&lt;&gt;"Ready","Not supplied",'Assumptions'!$D$115*V35*V33*'Assumptions'!$D$120*'Assumptions'!$D$125*'Assumptions'!$D$6)</x:f>
        <x:v>0</x:v>
      </x:c>
      <x:c r="W60" s="66" t="n">
        <x:f>IF('Assumptions'!$D$7&lt;&gt;"Ready","Not supplied",'Assumptions'!$D$115*W35*W33*'Assumptions'!$D$120*'Assumptions'!$D$125*'Assumptions'!$D$6)</x:f>
        <x:v>0</x:v>
      </x:c>
      <x:c r="X60" s="66" t="n">
        <x:f>IF('Assumptions'!$D$7&lt;&gt;"Ready","Not supplied",'Assumptions'!$D$115*X35*X33*'Assumptions'!$D$120*'Assumptions'!$D$125*'Assumptions'!$D$6)</x:f>
        <x:v>0</x:v>
      </x:c>
      <x:c r="Y60" s="66" t="n">
        <x:f>IF('Assumptions'!$D$7&lt;&gt;"Ready","Not supplied",'Assumptions'!$D$115*Y35*Y33*'Assumptions'!$D$120*'Assumptions'!$D$125*'Assumptions'!$D$6)</x:f>
        <x:v>0</x:v>
      </x:c>
      <x:c r="Z60" s="66" t="n">
        <x:f>IF('Assumptions'!$D$7&lt;&gt;"Ready","Not supplied",'Assumptions'!$D$115*Z35*Z33*'Assumptions'!$D$120*'Assumptions'!$D$125*'Assumptions'!$D$6)</x:f>
        <x:v>0</x:v>
      </x:c>
      <x:c r="AA60" s="66" t="n">
        <x:f>IF('Assumptions'!$D$7&lt;&gt;"Ready","Not supplied",'Assumptions'!$D$115*AA35*AA33*'Assumptions'!$D$120*'Assumptions'!$D$125*'Assumptions'!$D$6)</x:f>
        <x:v>0</x:v>
      </x:c>
    </x:row>
    <x:row r="61" ht="21" customHeight="1">
      <x:c r="A61" s="50"/>
      <x:c r="B61" s="50"/>
      <x:c r="C61" s="56" t="str">
        <x:v>Operating contribution before setup</x:v>
      </x:c>
      <x:c r="D61" s="78" t="n">
        <x:f>IF('Assumptions'!$D$7&lt;&gt;"Ready","Not supplied",D55-SUM(D56:D60))</x:f>
        <x:v>4906</x:v>
      </x:c>
      <x:c r="E61" s="78" t="n">
        <x:f>IF('Assumptions'!$D$7&lt;&gt;"Ready","Not supplied",E55-SUM(E56:E60))</x:f>
        <x:v>5218.576000000003</x:v>
      </x:c>
      <x:c r="F61" s="78" t="n">
        <x:f>IF('Assumptions'!$D$7&lt;&gt;"Ready","Not supplied",F55-SUM(F56:F60))</x:f>
        <x:v>4429.644223467523</x:v>
      </x:c>
      <x:c r="G61" s="78" t="n">
        <x:f>IF('Assumptions'!$D$7&lt;&gt;"Ready","Not supplied",G55-SUM(G56:G60))</x:f>
        <x:v>5003.604020599178</x:v>
      </x:c>
      <x:c r="H61" s="78" t="n">
        <x:f>IF('Assumptions'!$D$7&lt;&gt;"Ready","Not supplied",H55-SUM(H56:H60))</x:f>
        <x:v>5590.582905700752</x:v>
      </x:c>
      <x:c r="I61" s="78" t="n">
        <x:f>IF('Assumptions'!$D$7&lt;&gt;"Ready","Not supplied",I55-SUM(I56:I60))</x:f>
        <x:v>6190.710961257348</x:v>
      </x:c>
      <x:c r="J61" s="78" t="n">
        <x:f>IF('Assumptions'!$D$7&lt;&gt;"Ready","Not supplied",J55-SUM(J56:J60))</x:f>
        <x:v>6518.200384028129</x:v>
      </x:c>
      <x:c r="K61" s="78" t="n">
        <x:f>IF('Assumptions'!$D$7&lt;&gt;"Ready","Not supplied",K55-SUM(K56:K60))</x:f>
        <x:v>6839.1400183435</x:v>
      </x:c>
      <x:c r="L61" s="78" t="n">
        <x:f>IF('Assumptions'!$D$7&lt;&gt;"Ready","Not supplied",L55-SUM(L56:L60))</x:f>
        <x:v>7153.660859972559</x:v>
      </x:c>
      <x:c r="M61" s="78" t="n">
        <x:f>IF('Assumptions'!$D$7&lt;&gt;"Ready","Not supplied",M55-SUM(M56:M60))</x:f>
        <x:v>7461.891284769037</x:v>
      </x:c>
      <x:c r="N61" s="78" t="n">
        <x:f>IF('Assumptions'!$D$7&lt;&gt;"Ready","Not supplied",N55-SUM(N56:N60))</x:f>
        <x:v>7763.957101069591</x:v>
      </x:c>
      <x:c r="O61" s="78" t="n">
        <x:f>IF('Assumptions'!$D$7&lt;&gt;"Ready","Not supplied",O55-SUM(O56:O60))</x:f>
        <x:v>8059.981601044128</x:v>
      </x:c>
      <x:c r="P61" s="78" t="n">
        <x:f>IF('Assumptions'!$D$7&lt;&gt;"Ready","Not supplied",P55-SUM(P56:P60))</x:f>
        <x:v>8350.085611019178</x:v>
      </x:c>
      <x:c r="Q61" s="78" t="n">
        <x:f>IF('Assumptions'!$D$7&lt;&gt;"Ready","Not supplied",Q55-SUM(Q56:Q60))</x:f>
        <x:v>8634.387540794723</x:v>
      </x:c>
      <x:c r="R61" s="78" t="n">
        <x:f>IF('Assumptions'!$D$7&lt;&gt;"Ready","Not supplied",R55-SUM(R56:R60))</x:f>
        <x:v>8913.003431974757</x:v>
      </x:c>
      <x:c r="S61" s="78" t="n">
        <x:f>IF('Assumptions'!$D$7&lt;&gt;"Ready","Not supplied",S55-SUM(S56:S60))</x:f>
        <x:v>9186.047005331191</x:v>
      </x:c>
      <x:c r="T61" s="78" t="n">
        <x:f>IF('Assumptions'!$D$7&lt;&gt;"Ready","Not supplied",T55-SUM(T56:T60))</x:f>
        <x:v>9453.629707220502</x:v>
      </x:c>
      <x:c r="U61" s="78" t="n">
        <x:f>IF('Assumptions'!$D$7&lt;&gt;"Ready","Not supplied",U55-SUM(U56:U60))</x:f>
        <x:v>9715.860755072023</x:v>
      </x:c>
      <x:c r="V61" s="78" t="n">
        <x:f>IF('Assumptions'!$D$7&lt;&gt;"Ready","Not supplied",V55-SUM(V56:V60))</x:f>
        <x:v>9972.847181966503</x:v>
      </x:c>
      <x:c r="W61" s="78" t="n">
        <x:f>IF('Assumptions'!$D$7&lt;&gt;"Ready","Not supplied",W55-SUM(W56:W60))</x:f>
        <x:v>10224.693880323106</x:v>
      </x:c>
      <x:c r="X61" s="78" t="n">
        <x:f>IF('Assumptions'!$D$7&lt;&gt;"Ready","Not supplied",X55-SUM(X56:X60))</x:f>
        <x:v>10471.503644712579</x:v>
      </x:c>
      <x:c r="Y61" s="78" t="n">
        <x:f>IF('Assumptions'!$D$7&lt;&gt;"Ready","Not supplied",Y55-SUM(Y56:Y60))</x:f>
        <x:v>10713.37721381426</x:v>
      </x:c>
      <x:c r="Z61" s="78" t="n">
        <x:f>IF('Assumptions'!$D$7&lt;&gt;"Ready","Not supplied",Z55-SUM(Z56:Z60))</x:f>
        <x:v>10950.413311533906</x:v>
      </x:c>
      <x:c r="AA61" s="78" t="n">
        <x:f>IF('Assumptions'!$D$7&lt;&gt;"Ready","Not supplied",AA55-SUM(AA56:AA60))</x:f>
        <x:v>11182.708687299157</x:v>
      </x:c>
    </x:row>
    <x:row r="62" ht="21" customHeight="1">
      <x:c r="A62" s="50"/>
      <x:c r="B62" s="50"/>
      <x:c r="C62" s="50"/>
      <x:c r="D62" s="58"/>
      <x:c r="E62" s="58"/>
      <x:c r="F62" s="58"/>
      <x:c r="G62" s="58"/>
      <x:c r="H62" s="58"/>
      <x:c r="I62" s="58"/>
      <x:c r="J62" s="58"/>
      <x:c r="K62" s="58"/>
      <x:c r="L62" s="58"/>
      <x:c r="M62" s="58"/>
      <x:c r="N62" s="58"/>
      <x:c r="O62" s="58"/>
      <x:c r="P62" s="58"/>
      <x:c r="Q62" s="58"/>
      <x:c r="R62" s="58"/>
      <x:c r="S62" s="58"/>
      <x:c r="T62" s="58"/>
      <x:c r="U62" s="58"/>
      <x:c r="V62" s="58"/>
      <x:c r="W62" s="58"/>
      <x:c r="X62" s="58"/>
      <x:c r="Y62" s="58"/>
      <x:c r="Z62" s="58"/>
      <x:c r="AA62" s="58"/>
    </x:row>
    <x:row r="63" ht="21" customHeight="1">
      <x:c r="A63" s="50"/>
      <x:c r="B63" s="50"/>
      <x:c r="C63" s="77" t="str">
        <x:v>INCREMENTAL investment and cash</x:v>
      </x:c>
      <x:c r="D63" s="80"/>
      <x:c r="E63" s="80"/>
      <x:c r="F63" s="80"/>
      <x:c r="G63" s="80"/>
      <x:c r="H63" s="80"/>
      <x:c r="I63" s="80"/>
      <x:c r="J63" s="80"/>
      <x:c r="K63" s="80"/>
      <x:c r="L63" s="80"/>
      <x:c r="M63" s="80"/>
      <x:c r="N63" s="80"/>
      <x:c r="O63" s="80"/>
      <x:c r="P63" s="80"/>
      <x:c r="Q63" s="80"/>
      <x:c r="R63" s="80"/>
      <x:c r="S63" s="80"/>
      <x:c r="T63" s="80"/>
      <x:c r="U63" s="80"/>
      <x:c r="V63" s="80"/>
      <x:c r="W63" s="80"/>
      <x:c r="X63" s="80"/>
      <x:c r="Y63" s="80"/>
      <x:c r="Z63" s="80"/>
      <x:c r="AA63" s="80"/>
    </x:row>
    <x:row r="64" ht="21" customHeight="1">
      <x:c r="A64" s="50"/>
      <x:c r="B64" s="50"/>
      <x:c r="C64" s="56" t="str">
        <x:v>Incremental net sales</x:v>
      </x:c>
      <x:c r="D64" s="78" t="n">
        <x:f>IF('Assumptions'!$D$7&lt;&gt;"Ready","Not supplied",D49-D21)</x:f>
        <x:v>0</x:v>
      </x:c>
      <x:c r="E64" s="78" t="n">
        <x:f>IF('Assumptions'!$D$7&lt;&gt;"Ready","Not supplied",E49-E21)</x:f>
        <x:v>0</x:v>
      </x:c>
      <x:c r="F64" s="78" t="n">
        <x:f>IF('Assumptions'!$D$7&lt;&gt;"Ready","Not supplied",F49-F21)</x:f>
        <x:v>452.82470928384646</x:v>
      </x:c>
      <x:c r="G64" s="78" t="n">
        <x:f>IF('Assumptions'!$D$7&lt;&gt;"Ready","Not supplied",G49-G21)</x:f>
        <x:v>937.9820650455149</x:v>
      </x:c>
      <x:c r="H64" s="78" t="n">
        <x:f>IF('Assumptions'!$D$7&lt;&gt;"Ready","Not supplied",H49-H21)</x:f>
        <x:v>1455.463523738319</x:v>
      </x:c>
      <x:c r="I64" s="78" t="n">
        <x:f>IF('Assumptions'!$D$7&lt;&gt;"Ready","Not supplied",I49-I21)</x:f>
        <x:v>2005.2691192252314</x:v>
      </x:c>
      <x:c r="J64" s="78" t="n">
        <x:f>IF('Assumptions'!$D$7&lt;&gt;"Ready","Not supplied",J49-J21)</x:f>
        <x:v>2082.285689117045</x:v>
      </x:c>
      <x:c r="K64" s="78" t="n">
        <x:f>IF('Assumptions'!$D$7&lt;&gt;"Ready","Not supplied",K49-K21)</x:f>
        <x:v>2157.7619276110418</x:v>
      </x:c>
      <x:c r="L64" s="78" t="n">
        <x:f>IF('Assumptions'!$D$7&lt;&gt;"Ready","Not supplied",L49-L21)</x:f>
        <x:v>2231.7286413351394</x:v>
      </x:c>
      <x:c r="M64" s="78" t="n">
        <x:f>IF('Assumptions'!$D$7&lt;&gt;"Ready","Not supplied",M49-M21)</x:f>
        <x:v>2304.216020784763</x:v>
      </x:c>
      <x:c r="N64" s="78" t="n">
        <x:f>IF('Assumptions'!$D$7&lt;&gt;"Ready","Not supplied",N49-N21)</x:f>
        <x:v>2375.253652645395</x:v>
      </x:c>
      <x:c r="O64" s="78" t="n">
        <x:f>IF('Assumptions'!$D$7&lt;&gt;"Ready","Not supplied",O49-O21)</x:f>
        <x:v>2444.8705318688117</x:v>
      </x:c>
      <x:c r="P64" s="78" t="n">
        <x:f>IF('Assumptions'!$D$7&lt;&gt;"Ready","Not supplied",P49-P21)</x:f>
        <x:v>2513.0950735077604</x:v>
      </x:c>
      <x:c r="Q64" s="78" t="n">
        <x:f>IF('Assumptions'!$D$7&lt;&gt;"Ready","Not supplied",Q49-Q21)</x:f>
        <x:v>2579.955124313925</x:v>
      </x:c>
      <x:c r="R64" s="78" t="n">
        <x:f>IF('Assumptions'!$D$7&lt;&gt;"Ready","Not supplied",R49-R21)</x:f>
        <x:v>2645.4779741039783</x:v>
      </x:c>
      <x:c r="S64" s="78" t="n">
        <x:f>IF('Assumptions'!$D$7&lt;&gt;"Ready","Not supplied",S49-S21)</x:f>
        <x:v>2709.6903668982195</x:v>
      </x:c>
      <x:c r="T64" s="78" t="n">
        <x:f>IF('Assumptions'!$D$7&lt;&gt;"Ready","Not supplied",T49-T21)</x:f>
        <x:v>2772.6185118365865</x:v>
      </x:c>
      <x:c r="U64" s="78" t="n">
        <x:f>IF('Assumptions'!$D$7&lt;&gt;"Ready","Not supplied",U49-U21)</x:f>
        <x:v>2834.288093876181</x:v>
      </x:c>
      <x:c r="V64" s="78" t="n">
        <x:f>IF('Assumptions'!$D$7&lt;&gt;"Ready","Not supplied",V49-V21)</x:f>
        <x:v>2894.7242842749692</x:v>
      </x:c>
      <x:c r="W64" s="78" t="n">
        <x:f>IF('Assumptions'!$D$7&lt;&gt;"Ready","Not supplied",W49-W21)</x:f>
        <x:v>2953.9517508658028</x:v>
      </x:c>
      <x:c r="X64" s="78" t="n">
        <x:f>IF('Assumptions'!$D$7&lt;&gt;"Ready","Not supplied",X49-X21)</x:f>
        <x:v>3011.994668124815</x:v>
      </x:c>
      <x:c r="Y64" s="78" t="n">
        <x:f>IF('Assumptions'!$D$7&lt;&gt;"Ready","Not supplied",Y49-Y21)</x:f>
        <x:v>3068.876727038645</x:v>
      </x:c>
      <x:c r="Z64" s="78" t="n">
        <x:f>IF('Assumptions'!$D$7&lt;&gt;"Ready","Not supplied",Z49-Z21)</x:f>
        <x:v>3124.6211447741953</x:v>
      </x:c>
      <x:c r="AA64" s="78" t="n">
        <x:f>IF('Assumptions'!$D$7&lt;&gt;"Ready","Not supplied",AA49-AA21)</x:f>
        <x:v>3179.2506741550387</x:v>
      </x:c>
    </x:row>
    <x:row r="65" ht="21" customHeight="1">
      <x:c r="A65" s="50"/>
      <x:c r="B65" s="50"/>
      <x:c r="C65" s="50" t="str">
        <x:v>Incremental contribution before fixed pilot spend</x:v>
      </x:c>
      <x:c r="D65" s="66" t="n">
        <x:f>IF('Assumptions'!$D$7&lt;&gt;"Ready","Not supplied",D55-D27)</x:f>
        <x:v>0</x:v>
      </x:c>
      <x:c r="E65" s="66" t="n">
        <x:f>IF('Assumptions'!$D$7&lt;&gt;"Ready","Not supplied",E55-E27)</x:f>
        <x:v>0</x:v>
      </x:c>
      <x:c r="F65" s="66" t="n">
        <x:f>IF('Assumptions'!$D$7&lt;&gt;"Ready","Not supplied",F55-F27)</x:f>
        <x:v>254.74374346752484</x:v>
      </x:c>
      <x:c r="G65" s="66" t="n">
        <x:f>IF('Assumptions'!$D$7&lt;&gt;"Ready","Not supplied",G55-G27)</x:f>
        <x:v>528.5055501991737</x:v>
      </x:c>
      <x:c r="H65" s="66" t="n">
        <x:f>IF('Assumptions'!$D$7&lt;&gt;"Ready","Not supplied",H55-H27)</x:f>
        <x:v>821.2904047087522</x:v>
      </x:c>
      <x:c r="I65" s="66" t="n">
        <x:f>IF('Assumptions'!$D$7&lt;&gt;"Ready","Not supplied",I55-I27)</x:f>
        <x:v>1133.108310285188</x:v>
      </x:c>
      <x:c r="J65" s="66" t="n">
        <x:f>IF('Assumptions'!$D$7&lt;&gt;"Ready","Not supplied",J55-J27)</x:f>
        <x:v>1178.0537860754102</x:v>
      </x:c>
      <x:c r="K65" s="66" t="n">
        <x:f>IF('Assumptions'!$D$7&lt;&gt;"Ready","Not supplied",K55-K27)</x:f>
        <x:v>1222.1003523498403</x:v>
      </x:c>
      <x:c r="L65" s="66" t="n">
        <x:f>IF('Assumptions'!$D$7&lt;&gt;"Ready","Not supplied",L55-L27)</x:f>
        <x:v>1265.2659872987715</x:v>
      </x:c>
      <x:c r="M65" s="66" t="n">
        <x:f>IF('Assumptions'!$D$7&lt;&gt;"Ready","Not supplied",M55-M27)</x:f>
        <x:v>1307.5683095487238</x:v>
      </x:c>
      <x:c r="N65" s="66" t="n">
        <x:f>IF('Assumptions'!$D$7&lt;&gt;"Ready","Not supplied",N55-N27)</x:f>
        <x:v>1349.0245853536835</x:v>
      </x:c>
      <x:c r="O65" s="66" t="n">
        <x:f>IF('Assumptions'!$D$7&lt;&gt;"Ready","Not supplied",O55-O27)</x:f>
        <x:v>1389.651735642541</x:v>
      </x:c>
      <x:c r="P65" s="66" t="n">
        <x:f>IF('Assumptions'!$D$7&lt;&gt;"Ready","Not supplied",P55-P27)</x:f>
        <x:v>1429.4663429256198</x:v>
      </x:c>
      <x:c r="Q65" s="66" t="n">
        <x:f>IF('Assumptions'!$D$7&lt;&gt;"Ready","Not supplied",Q55-Q27)</x:f>
        <x:v>1468.4846580630365</x:v>
      </x:c>
      <x:c r="R65" s="66" t="n">
        <x:f>IF('Assumptions'!$D$7&lt;&gt;"Ready","Not supplied",R55-R27)</x:f>
        <x:v>1506.7226068977106</x:v>
      </x:c>
      <x:c r="S65" s="66" t="n">
        <x:f>IF('Assumptions'!$D$7&lt;&gt;"Ready","Not supplied",S55-S27)</x:f>
        <x:v>1544.1957967556773</x:v>
      </x:c>
      <x:c r="T65" s="66" t="n">
        <x:f>IF('Assumptions'!$D$7&lt;&gt;"Ready","Not supplied",T55-T27)</x:f>
        <x:v>1580.9195228165008</x:v>
      </x:c>
      <x:c r="U65" s="66" t="n">
        <x:f>IF('Assumptions'!$D$7&lt;&gt;"Ready","Not supplied",U55-U27)</x:f>
        <x:v>1616.908774356103</x:v>
      </x:c>
      <x:c r="V65" s="66" t="n">
        <x:f>IF('Assumptions'!$D$7&lt;&gt;"Ready","Not supplied",V55-V27)</x:f>
        <x:v>1652.1782408648978</x:v>
      </x:c>
      <x:c r="W65" s="66" t="n">
        <x:f>IF('Assumptions'!$D$7&lt;&gt;"Ready","Not supplied",W55-W27)</x:f>
        <x:v>1686.7423180435399</x:v>
      </x:c>
      <x:c r="X65" s="66" t="n">
        <x:f>IF('Assumptions'!$D$7&lt;&gt;"Ready","Not supplied",X55-X27)</x:f>
        <x:v>1720.615113678603</x:v>
      </x:c>
      <x:c r="Y65" s="66" t="n">
        <x:f>IF('Assumptions'!$D$7&lt;&gt;"Ready","Not supplied",Y55-Y27)</x:f>
        <x:v>1753.8104534009617</x:v>
      </x:c>
      <x:c r="Z65" s="66" t="n">
        <x:f>IF('Assumptions'!$D$7&lt;&gt;"Ready","Not supplied",Z55-Z27)</x:f>
        <x:v>1786.3418863288753</x:v>
      </x:c>
      <x:c r="AA65" s="66" t="n">
        <x:f>IF('Assumptions'!$D$7&lt;&gt;"Ready","Not supplied",AA55-AA27)</x:f>
        <x:v>1818.2226905982243</x:v>
      </x:c>
    </x:row>
    <x:row r="66" ht="21" customHeight="1">
      <x:c r="A66" s="50"/>
      <x:c r="B66" s="50"/>
      <x:c r="C66" s="56" t="str">
        <x:v>Incremental operating contribution</x:v>
      </x:c>
      <x:c r="D66" s="78" t="n">
        <x:f>IF('Assumptions'!$D$7&lt;&gt;"Ready","Not supplied",D61-D30)</x:f>
        <x:v>0</x:v>
      </x:c>
      <x:c r="E66" s="78" t="n">
        <x:f>IF('Assumptions'!$D$7&lt;&gt;"Ready","Not supplied",E61-E30)</x:f>
        <x:v>0</x:v>
      </x:c>
      <x:c r="F66" s="78" t="n">
        <x:f>IF('Assumptions'!$D$7&lt;&gt;"Ready","Not supplied",F61-F30)</x:f>
        <x:v>-1095.2562565324752</x:v>
      </x:c>
      <x:c r="G66" s="78" t="n">
        <x:f>IF('Assumptions'!$D$7&lt;&gt;"Ready","Not supplied",G61-G30)</x:f>
        <x:v>-821.4944498008263</x:v>
      </x:c>
      <x:c r="H66" s="78" t="n">
        <x:f>IF('Assumptions'!$D$7&lt;&gt;"Ready","Not supplied",H61-H30)</x:f>
        <x:v>-528.7095952912478</x:v>
      </x:c>
      <x:c r="I66" s="78" t="n">
        <x:f>IF('Assumptions'!$D$7&lt;&gt;"Ready","Not supplied",I61-I30)</x:f>
        <x:v>-216.89168971481195</x:v>
      </x:c>
      <x:c r="J66" s="78" t="n">
        <x:f>IF('Assumptions'!$D$7&lt;&gt;"Ready","Not supplied",J61-J30)</x:f>
        <x:v>-171.94621392458976</x:v>
      </x:c>
      <x:c r="K66" s="78" t="n">
        <x:f>IF('Assumptions'!$D$7&lt;&gt;"Ready","Not supplied",K61-K30)</x:f>
        <x:v>-127.89964765015975</x:v>
      </x:c>
      <x:c r="L66" s="78" t="n">
        <x:f>IF('Assumptions'!$D$7&lt;&gt;"Ready","Not supplied",L61-L30)</x:f>
        <x:v>-84.7340127012285</x:v>
      </x:c>
      <x:c r="M66" s="78" t="n">
        <x:f>IF('Assumptions'!$D$7&lt;&gt;"Ready","Not supplied",M61-M30)</x:f>
        <x:v>-42.431690451276154</x:v>
      </x:c>
      <x:c r="N66" s="78" t="n">
        <x:f>IF('Assumptions'!$D$7&lt;&gt;"Ready","Not supplied",N61-N30)</x:f>
        <x:v>-0.9754146463164943</x:v>
      </x:c>
      <x:c r="O66" s="78" t="n">
        <x:f>IF('Assumptions'!$D$7&lt;&gt;"Ready","Not supplied",O61-O30)</x:f>
        <x:v>39.6517356425411</x:v>
      </x:c>
      <x:c r="P66" s="78" t="n">
        <x:f>IF('Assumptions'!$D$7&lt;&gt;"Ready","Not supplied",P61-P30)</x:f>
        <x:v>79.46634292561976</x:v>
      </x:c>
      <x:c r="Q66" s="78" t="n">
        <x:f>IF('Assumptions'!$D$7&lt;&gt;"Ready","Not supplied",Q61-Q30)</x:f>
        <x:v>118.48465806303648</x:v>
      </x:c>
      <x:c r="R66" s="78" t="n">
        <x:f>IF('Assumptions'!$D$7&lt;&gt;"Ready","Not supplied",R61-R30)</x:f>
        <x:v>156.72260689771065</x:v>
      </x:c>
      <x:c r="S66" s="78" t="n">
        <x:f>IF('Assumptions'!$D$7&lt;&gt;"Ready","Not supplied",S61-S30)</x:f>
        <x:v>194.1957967556773</x:v>
      </x:c>
      <x:c r="T66" s="78" t="n">
        <x:f>IF('Assumptions'!$D$7&lt;&gt;"Ready","Not supplied",T61-T30)</x:f>
        <x:v>230.91952281650083</x:v>
      </x:c>
      <x:c r="U66" s="78" t="n">
        <x:f>IF('Assumptions'!$D$7&lt;&gt;"Ready","Not supplied",U61-U30)</x:f>
        <x:v>266.9087743561031</x:v>
      </x:c>
      <x:c r="V66" s="78" t="n">
        <x:f>IF('Assumptions'!$D$7&lt;&gt;"Ready","Not supplied",V61-V30)</x:f>
        <x:v>302.1782408648978</x:v>
      </x:c>
      <x:c r="W66" s="78" t="n">
        <x:f>IF('Assumptions'!$D$7&lt;&gt;"Ready","Not supplied",W61-W30)</x:f>
        <x:v>336.74231804353985</x:v>
      </x:c>
      <x:c r="X66" s="78" t="n">
        <x:f>IF('Assumptions'!$D$7&lt;&gt;"Ready","Not supplied",X61-X30)</x:f>
        <x:v>370.61511367860294</x:v>
      </x:c>
      <x:c r="Y66" s="78" t="n">
        <x:f>IF('Assumptions'!$D$7&lt;&gt;"Ready","Not supplied",Y61-Y30)</x:f>
        <x:v>403.8104534009617</x:v>
      </x:c>
      <x:c r="Z66" s="78" t="n">
        <x:f>IF('Assumptions'!$D$7&lt;&gt;"Ready","Not supplied",Z61-Z30)</x:f>
        <x:v>436.34188632887526</x:v>
      </x:c>
      <x:c r="AA66" s="78" t="n">
        <x:f>IF('Assumptions'!$D$7&lt;&gt;"Ready","Not supplied",AA61-AA30)</x:f>
        <x:v>468.2226905982243</x:v>
      </x:c>
    </x:row>
    <x:row r="67" ht="21" customHeight="1">
      <x:c r="A67" s="50"/>
      <x:c r="B67" s="50"/>
      <x:c r="C67" s="50" t="str">
        <x:v>One-off setup cash / expense</x:v>
      </x:c>
      <x:c r="D67" s="66" t="n">
        <x:f>IF('Assumptions'!$D$7&lt;&gt;"Ready","Not supplied",SUM('Assumptions'!$D$75,'Assumptions'!$D$80,'Assumptions'!$D$85,'Assumptions'!$D$90)*'Assumptions'!$D$6*(IF(D8=1,0.5,0)+IF(D8='Assumptions'!$D$35,0.5,0)))</x:f>
        <x:v>2700</x:v>
      </x:c>
      <x:c r="E67" s="66" t="n">
        <x:f>IF('Assumptions'!$D$7&lt;&gt;"Ready","Not supplied",SUM('Assumptions'!$D$75,'Assumptions'!$D$80,'Assumptions'!$D$85,'Assumptions'!$D$90)*'Assumptions'!$D$6*(IF(E8=1,0.5,0)+IF(E8='Assumptions'!$D$35,0.5,0)))</x:f>
        <x:v>0</x:v>
      </x:c>
      <x:c r="F67" s="66" t="n">
        <x:f>IF('Assumptions'!$D$7&lt;&gt;"Ready","Not supplied",SUM('Assumptions'!$D$75,'Assumptions'!$D$80,'Assumptions'!$D$85,'Assumptions'!$D$90)*'Assumptions'!$D$6*(IF(F8=1,0.5,0)+IF(F8='Assumptions'!$D$35,0.5,0)))</x:f>
        <x:v>2700</x:v>
      </x:c>
      <x:c r="G67" s="66" t="n">
        <x:f>IF('Assumptions'!$D$7&lt;&gt;"Ready","Not supplied",SUM('Assumptions'!$D$75,'Assumptions'!$D$80,'Assumptions'!$D$85,'Assumptions'!$D$90)*'Assumptions'!$D$6*(IF(G8=1,0.5,0)+IF(G8='Assumptions'!$D$35,0.5,0)))</x:f>
        <x:v>0</x:v>
      </x:c>
      <x:c r="H67" s="66" t="n">
        <x:f>IF('Assumptions'!$D$7&lt;&gt;"Ready","Not supplied",SUM('Assumptions'!$D$75,'Assumptions'!$D$80,'Assumptions'!$D$85,'Assumptions'!$D$90)*'Assumptions'!$D$6*(IF(H8=1,0.5,0)+IF(H8='Assumptions'!$D$35,0.5,0)))</x:f>
        <x:v>0</x:v>
      </x:c>
      <x:c r="I67" s="66" t="n">
        <x:f>IF('Assumptions'!$D$7&lt;&gt;"Ready","Not supplied",SUM('Assumptions'!$D$75,'Assumptions'!$D$80,'Assumptions'!$D$85,'Assumptions'!$D$90)*'Assumptions'!$D$6*(IF(I8=1,0.5,0)+IF(I8='Assumptions'!$D$35,0.5,0)))</x:f>
        <x:v>0</x:v>
      </x:c>
      <x:c r="J67" s="66" t="n">
        <x:f>IF('Assumptions'!$D$7&lt;&gt;"Ready","Not supplied",SUM('Assumptions'!$D$75,'Assumptions'!$D$80,'Assumptions'!$D$85,'Assumptions'!$D$90)*'Assumptions'!$D$6*(IF(J8=1,0.5,0)+IF(J8='Assumptions'!$D$35,0.5,0)))</x:f>
        <x:v>0</x:v>
      </x:c>
      <x:c r="K67" s="66" t="n">
        <x:f>IF('Assumptions'!$D$7&lt;&gt;"Ready","Not supplied",SUM('Assumptions'!$D$75,'Assumptions'!$D$80,'Assumptions'!$D$85,'Assumptions'!$D$90)*'Assumptions'!$D$6*(IF(K8=1,0.5,0)+IF(K8='Assumptions'!$D$35,0.5,0)))</x:f>
        <x:v>0</x:v>
      </x:c>
      <x:c r="L67" s="66" t="n">
        <x:f>IF('Assumptions'!$D$7&lt;&gt;"Ready","Not supplied",SUM('Assumptions'!$D$75,'Assumptions'!$D$80,'Assumptions'!$D$85,'Assumptions'!$D$90)*'Assumptions'!$D$6*(IF(L8=1,0.5,0)+IF(L8='Assumptions'!$D$35,0.5,0)))</x:f>
        <x:v>0</x:v>
      </x:c>
      <x:c r="M67" s="66" t="n">
        <x:f>IF('Assumptions'!$D$7&lt;&gt;"Ready","Not supplied",SUM('Assumptions'!$D$75,'Assumptions'!$D$80,'Assumptions'!$D$85,'Assumptions'!$D$90)*'Assumptions'!$D$6*(IF(M8=1,0.5,0)+IF(M8='Assumptions'!$D$35,0.5,0)))</x:f>
        <x:v>0</x:v>
      </x:c>
      <x:c r="N67" s="66" t="n">
        <x:f>IF('Assumptions'!$D$7&lt;&gt;"Ready","Not supplied",SUM('Assumptions'!$D$75,'Assumptions'!$D$80,'Assumptions'!$D$85,'Assumptions'!$D$90)*'Assumptions'!$D$6*(IF(N8=1,0.5,0)+IF(N8='Assumptions'!$D$35,0.5,0)))</x:f>
        <x:v>0</x:v>
      </x:c>
      <x:c r="O67" s="66" t="n">
        <x:f>IF('Assumptions'!$D$7&lt;&gt;"Ready","Not supplied",SUM('Assumptions'!$D$75,'Assumptions'!$D$80,'Assumptions'!$D$85,'Assumptions'!$D$90)*'Assumptions'!$D$6*(IF(O8=1,0.5,0)+IF(O8='Assumptions'!$D$35,0.5,0)))</x:f>
        <x:v>0</x:v>
      </x:c>
      <x:c r="P67" s="66" t="n">
        <x:f>IF('Assumptions'!$D$7&lt;&gt;"Ready","Not supplied",SUM('Assumptions'!$D$75,'Assumptions'!$D$80,'Assumptions'!$D$85,'Assumptions'!$D$90)*'Assumptions'!$D$6*(IF(P8=1,0.5,0)+IF(P8='Assumptions'!$D$35,0.5,0)))</x:f>
        <x:v>0</x:v>
      </x:c>
      <x:c r="Q67" s="66" t="n">
        <x:f>IF('Assumptions'!$D$7&lt;&gt;"Ready","Not supplied",SUM('Assumptions'!$D$75,'Assumptions'!$D$80,'Assumptions'!$D$85,'Assumptions'!$D$90)*'Assumptions'!$D$6*(IF(Q8=1,0.5,0)+IF(Q8='Assumptions'!$D$35,0.5,0)))</x:f>
        <x:v>0</x:v>
      </x:c>
      <x:c r="R67" s="66" t="n">
        <x:f>IF('Assumptions'!$D$7&lt;&gt;"Ready","Not supplied",SUM('Assumptions'!$D$75,'Assumptions'!$D$80,'Assumptions'!$D$85,'Assumptions'!$D$90)*'Assumptions'!$D$6*(IF(R8=1,0.5,0)+IF(R8='Assumptions'!$D$35,0.5,0)))</x:f>
        <x:v>0</x:v>
      </x:c>
      <x:c r="S67" s="66" t="n">
        <x:f>IF('Assumptions'!$D$7&lt;&gt;"Ready","Not supplied",SUM('Assumptions'!$D$75,'Assumptions'!$D$80,'Assumptions'!$D$85,'Assumptions'!$D$90)*'Assumptions'!$D$6*(IF(S8=1,0.5,0)+IF(S8='Assumptions'!$D$35,0.5,0)))</x:f>
        <x:v>0</x:v>
      </x:c>
      <x:c r="T67" s="66" t="n">
        <x:f>IF('Assumptions'!$D$7&lt;&gt;"Ready","Not supplied",SUM('Assumptions'!$D$75,'Assumptions'!$D$80,'Assumptions'!$D$85,'Assumptions'!$D$90)*'Assumptions'!$D$6*(IF(T8=1,0.5,0)+IF(T8='Assumptions'!$D$35,0.5,0)))</x:f>
        <x:v>0</x:v>
      </x:c>
      <x:c r="U67" s="66" t="n">
        <x:f>IF('Assumptions'!$D$7&lt;&gt;"Ready","Not supplied",SUM('Assumptions'!$D$75,'Assumptions'!$D$80,'Assumptions'!$D$85,'Assumptions'!$D$90)*'Assumptions'!$D$6*(IF(U8=1,0.5,0)+IF(U8='Assumptions'!$D$35,0.5,0)))</x:f>
        <x:v>0</x:v>
      </x:c>
      <x:c r="V67" s="66" t="n">
        <x:f>IF('Assumptions'!$D$7&lt;&gt;"Ready","Not supplied",SUM('Assumptions'!$D$75,'Assumptions'!$D$80,'Assumptions'!$D$85,'Assumptions'!$D$90)*'Assumptions'!$D$6*(IF(V8=1,0.5,0)+IF(V8='Assumptions'!$D$35,0.5,0)))</x:f>
        <x:v>0</x:v>
      </x:c>
      <x:c r="W67" s="66" t="n">
        <x:f>IF('Assumptions'!$D$7&lt;&gt;"Ready","Not supplied",SUM('Assumptions'!$D$75,'Assumptions'!$D$80,'Assumptions'!$D$85,'Assumptions'!$D$90)*'Assumptions'!$D$6*(IF(W8=1,0.5,0)+IF(W8='Assumptions'!$D$35,0.5,0)))</x:f>
        <x:v>0</x:v>
      </x:c>
      <x:c r="X67" s="66" t="n">
        <x:f>IF('Assumptions'!$D$7&lt;&gt;"Ready","Not supplied",SUM('Assumptions'!$D$75,'Assumptions'!$D$80,'Assumptions'!$D$85,'Assumptions'!$D$90)*'Assumptions'!$D$6*(IF(X8=1,0.5,0)+IF(X8='Assumptions'!$D$35,0.5,0)))</x:f>
        <x:v>0</x:v>
      </x:c>
      <x:c r="Y67" s="66" t="n">
        <x:f>IF('Assumptions'!$D$7&lt;&gt;"Ready","Not supplied",SUM('Assumptions'!$D$75,'Assumptions'!$D$80,'Assumptions'!$D$85,'Assumptions'!$D$90)*'Assumptions'!$D$6*(IF(Y8=1,0.5,0)+IF(Y8='Assumptions'!$D$35,0.5,0)))</x:f>
        <x:v>0</x:v>
      </x:c>
      <x:c r="Z67" s="66" t="n">
        <x:f>IF('Assumptions'!$D$7&lt;&gt;"Ready","Not supplied",SUM('Assumptions'!$D$75,'Assumptions'!$D$80,'Assumptions'!$D$85,'Assumptions'!$D$90)*'Assumptions'!$D$6*(IF(Z8=1,0.5,0)+IF(Z8='Assumptions'!$D$35,0.5,0)))</x:f>
        <x:v>0</x:v>
      </x:c>
      <x:c r="AA67" s="66" t="n">
        <x:f>IF('Assumptions'!$D$7&lt;&gt;"Ready","Not supplied",SUM('Assumptions'!$D$75,'Assumptions'!$D$80,'Assumptions'!$D$85,'Assumptions'!$D$90)*'Assumptions'!$D$6*(IF(AA8=1,0.5,0)+IF(AA8='Assumptions'!$D$35,0.5,0)))</x:f>
        <x:v>0</x:v>
      </x:c>
    </x:row>
    <x:row r="68" ht="21" customHeight="1">
      <x:c r="A68" s="50"/>
      <x:c r="B68" s="50"/>
      <x:c r="C68" s="50" t="str">
        <x:v>Incremental cost funding reserve</x:v>
      </x:c>
      <x:c r="D68" s="66" t="n">
        <x:f>IF('Assumptions'!$D$7&lt;&gt;"Ready","Not supplied",MAX(0,D50-D22+(D54-D26))*'Assumptions'!$D$30)</x:f>
        <x:v>0</x:v>
      </x:c>
      <x:c r="E68" s="66" t="n">
        <x:f>IF('Assumptions'!$D$7&lt;&gt;"Ready","Not supplied",MAX(0,E50-E22+(E54-E26))*'Assumptions'!$D$30)</x:f>
        <x:v>0</x:v>
      </x:c>
      <x:c r="F68" s="66" t="n">
        <x:f>IF('Assumptions'!$D$7&lt;&gt;"Ready","Not supplied",MAX(0,F50-F22+(F54-F26))*'Assumptions'!$D$30)</x:f>
        <x:v>80.72886082560103</x:v>
      </x:c>
      <x:c r="G68" s="66" t="n">
        <x:f>IF('Assumptions'!$D$7&lt;&gt;"Ready","Not supplied",MAX(0,G50-G22+(G54-G26))*'Assumptions'!$D$30)</x:f>
        <x:v>166.50969766336243</x:v>
      </x:c>
      <x:c r="H68" s="66" t="n">
        <x:f>IF('Assumptions'!$D$7&lt;&gt;"Ready","Not supplied",MAX(0,H50-H22+(H54-H26))*'Assumptions'!$D$30)</x:f>
        <x:v>257.341175584113</x:v>
      </x:c>
      <x:c r="I68" s="66" t="n">
        <x:f>IF('Assumptions'!$D$7&lt;&gt;"Ready","Not supplied",MAX(0,I50-I22+(I54-I26))*'Assumptions'!$D$30)</x:f>
        <x:v>353.2232998789427</x:v>
      </x:c>
      <x:c r="J68" s="66" t="n">
        <x:f>IF('Assumptions'!$D$7&lt;&gt;"Ready","Not supplied",MAX(0,J50-J22+(J54-J26))*'Assumptions'!$D$30)</x:f>
        <x:v>365.25713892453905</x:v>
      </x:c>
      <x:c r="K68" s="66" t="n">
        <x:f>IF('Assumptions'!$D$7&lt;&gt;"Ready","Not supplied",MAX(0,K50-K22+(K54-K26))*'Assumptions'!$D$30)</x:f>
        <x:v>377.0503011892247</x:v>
      </x:c>
      <x:c r="L68" s="66" t="n">
        <x:f>IF('Assumptions'!$D$7&lt;&gt;"Ready","Not supplied",MAX(0,L50-L22+(L54-L26))*'Assumptions'!$D$30)</x:f>
        <x:v>388.60760020861517</x:v>
      </x:c>
      <x:c r="M68" s="66" t="n">
        <x:f>IF('Assumptions'!$D$7&lt;&gt;"Ready","Not supplied",MAX(0,M50-M22+(M54-M26))*'Assumptions'!$D$30)</x:f>
        <x:v>399.9337532476188</x:v>
      </x:c>
      <x:c r="N68" s="66" t="n">
        <x:f>IF('Assumptions'!$D$7&lt;&gt;"Ready","Not supplied",MAX(0,N50-N22+(N54-N26))*'Assumptions'!$D$30)</x:f>
        <x:v>411.0333832258425</x:v>
      </x:c>
      <x:c r="O68" s="66" t="n">
        <x:f>IF('Assumptions'!$D$7&lt;&gt;"Ready","Not supplied",MAX(0,O50-O22+(O54-O26))*'Assumptions'!$D$30)</x:f>
        <x:v>421.911020604502</x:v>
      </x:c>
      <x:c r="P68" s="66" t="n">
        <x:f>IF('Assumptions'!$D$7&lt;&gt;"Ready","Not supplied",MAX(0,P50-P22+(P54-P26))*'Assumptions'!$D$30)</x:f>
        <x:v>432.57110523558777</x:v>
      </x:c>
      <x:c r="Q68" s="66" t="n">
        <x:f>IF('Assumptions'!$D$7&lt;&gt;"Ready","Not supplied",MAX(0,Q50-Q22+(Q54-Q26))*'Assumptions'!$D$30)</x:f>
        <x:v>443.0179881740505</x:v>
      </x:c>
      <x:c r="R68" s="66" t="n">
        <x:f>IF('Assumptions'!$D$7&lt;&gt;"Ready","Not supplied",MAX(0,R50-R22+(R54-R26))*'Assumptions'!$D$30)</x:f>
        <x:v>453.2559334537459</x:v>
      </x:c>
      <x:c r="S68" s="66" t="n">
        <x:f>IF('Assumptions'!$D$7&lt;&gt;"Ready","Not supplied",MAX(0,S50-S22+(S54-S26))*'Assumptions'!$D$30)</x:f>
        <x:v>463.28911982784757</x:v>
      </x:c>
      <x:c r="T68" s="66" t="n">
        <x:f>IF('Assumptions'!$D$7&lt;&gt;"Ready","Not supplied",MAX(0,T50-T22+(T54-T26))*'Assumptions'!$D$30)</x:f>
        <x:v>473.12164247446617</x:v>
      </x:c>
      <x:c r="U68" s="66" t="n">
        <x:f>IF('Assumptions'!$D$7&lt;&gt;"Ready","Not supplied",MAX(0,U50-U22+(U54-U26))*'Assumptions'!$D$30)</x:f>
        <x:v>482.75751466815245</x:v>
      </x:c>
      <x:c r="V68" s="66" t="n">
        <x:f>IF('Assumptions'!$D$7&lt;&gt;"Ready","Not supplied",MAX(0,V50-V22+(V54-V26))*'Assumptions'!$D$30)</x:f>
        <x:v>492.20066941796495</x:v>
      </x:c>
      <x:c r="W68" s="66" t="n">
        <x:f>IF('Assumptions'!$D$7&lt;&gt;"Ready","Not supplied",MAX(0,W50-W22+(W54-W26))*'Assumptions'!$D$30)</x:f>
        <x:v>501.45496107278314</x:v>
      </x:c>
      <x:c r="X68" s="66" t="n">
        <x:f>IF('Assumptions'!$D$7&lt;&gt;"Ready","Not supplied",MAX(0,X50-X22+(X54-X26))*'Assumptions'!$D$30)</x:f>
        <x:v>510.5241668945023</x:v>
      </x:c>
      <x:c r="Y68" s="66" t="n">
        <x:f>IF('Assumptions'!$D$7&lt;&gt;"Ready","Not supplied",MAX(0,Y50-Y22+(Y54-Y26))*'Assumptions'!$D$30)</x:f>
        <x:v>519.4119885997875</x:v>
      </x:c>
      <x:c r="Z68" s="66" t="n">
        <x:f>IF('Assumptions'!$D$7&lt;&gt;"Ready","Not supplied",MAX(0,Z50-Z22+(Z54-Z26))*'Assumptions'!$D$30)</x:f>
        <x:v>528.1220538709672</x:v>
      </x:c>
      <x:c r="AA68" s="66" t="n">
        <x:f>IF('Assumptions'!$D$7&lt;&gt;"Ready","Not supplied",MAX(0,AA50-AA22+(AA54-AA26))*'Assumptions'!$D$30)</x:f>
        <x:v>536.6579178367242</x:v>
      </x:c>
    </x:row>
    <x:row r="69" ht="21" customHeight="1">
      <x:c r="A69" s="50"/>
      <x:c r="B69" s="50"/>
      <x:c r="C69" s="50" t="str">
        <x:v>Incremental B2B receivables balance</x:v>
      </x:c>
      <x:c r="D69" s="66" t="n">
        <x:f>IF('Assumptions'!$D$7&lt;&gt;"Ready","Not supplied",'Assumptions'!$D$29*0+SUM($D47:D47)-IF(D8&lt;='Assumptions'!$D$29,0,SUM($D47:INDEX($D47:$AA47,1,D8-'Assumptions'!$D$29))))</x:f>
        <x:v>0</x:v>
      </x:c>
      <x:c r="E69" s="66" t="n">
        <x:f>IF('Assumptions'!$D$7&lt;&gt;"Ready","Not supplied",'Assumptions'!$D$29*0+SUM($D47:E47)-IF(E8&lt;='Assumptions'!$D$29,0,SUM($D47:INDEX($D47:$AA47,1,E8-'Assumptions'!$D$29))))</x:f>
        <x:v>0</x:v>
      </x:c>
      <x:c r="F69" s="66" t="n">
        <x:f>IF('Assumptions'!$D$7&lt;&gt;"Ready","Not supplied",'Assumptions'!$D$29*0+SUM($D47:F47)-IF(F8&lt;='Assumptions'!$D$29,0,SUM($D47:INDEX($D47:$AA47,1,F8-'Assumptions'!$D$29))))</x:f>
        <x:v>84</x:v>
      </x:c>
      <x:c r="G69" s="66" t="n">
        <x:f>IF('Assumptions'!$D$7&lt;&gt;"Ready","Not supplied",'Assumptions'!$D$29*0+SUM($D47:G47)-IF(G8&lt;='Assumptions'!$D$29,0,SUM($D47:INDEX($D47:$AA47,1,G8-'Assumptions'!$D$29))))</x:f>
        <x:v>168</x:v>
      </x:c>
      <x:c r="H69" s="66" t="n">
        <x:f>IF('Assumptions'!$D$7&lt;&gt;"Ready","Not supplied",'Assumptions'!$D$29*0+SUM($D47:H47)-IF(H8&lt;='Assumptions'!$D$29,0,SUM($D47:INDEX($D47:$AA47,1,H8-'Assumptions'!$D$29))))</x:f>
        <x:v>252</x:v>
      </x:c>
      <x:c r="I69" s="66" t="n">
        <x:f>IF('Assumptions'!$D$7&lt;&gt;"Ready","Not supplied",'Assumptions'!$D$29*0+SUM($D47:I47)-IF(I8&lt;='Assumptions'!$D$29,0,SUM($D47:INDEX($D47:$AA47,1,I8-'Assumptions'!$D$29))))</x:f>
        <x:v>336</x:v>
      </x:c>
      <x:c r="J69" s="66" t="n">
        <x:f>IF('Assumptions'!$D$7&lt;&gt;"Ready","Not supplied",'Assumptions'!$D$29*0+SUM($D47:J47)-IF(J8&lt;='Assumptions'!$D$29,0,SUM($D47:INDEX($D47:$AA47,1,J8-'Assumptions'!$D$29))))</x:f>
        <x:v>336</x:v>
      </x:c>
      <x:c r="K69" s="66" t="n">
        <x:f>IF('Assumptions'!$D$7&lt;&gt;"Ready","Not supplied",'Assumptions'!$D$29*0+SUM($D47:K47)-IF(K8&lt;='Assumptions'!$D$29,0,SUM($D47:INDEX($D47:$AA47,1,K8-'Assumptions'!$D$29))))</x:f>
        <x:v>336</x:v>
      </x:c>
      <x:c r="L69" s="66" t="n">
        <x:f>IF('Assumptions'!$D$7&lt;&gt;"Ready","Not supplied",'Assumptions'!$D$29*0+SUM($D47:L47)-IF(L8&lt;='Assumptions'!$D$29,0,SUM($D47:INDEX($D47:$AA47,1,L8-'Assumptions'!$D$29))))</x:f>
        <x:v>336</x:v>
      </x:c>
      <x:c r="M69" s="66" t="n">
        <x:f>IF('Assumptions'!$D$7&lt;&gt;"Ready","Not supplied",'Assumptions'!$D$29*0+SUM($D47:M47)-IF(M8&lt;='Assumptions'!$D$29,0,SUM($D47:INDEX($D47:$AA47,1,M8-'Assumptions'!$D$29))))</x:f>
        <x:v>336</x:v>
      </x:c>
      <x:c r="N69" s="66" t="n">
        <x:f>IF('Assumptions'!$D$7&lt;&gt;"Ready","Not supplied",'Assumptions'!$D$29*0+SUM($D47:N47)-IF(N8&lt;='Assumptions'!$D$29,0,SUM($D47:INDEX($D47:$AA47,1,N8-'Assumptions'!$D$29))))</x:f>
        <x:v>336</x:v>
      </x:c>
      <x:c r="O69" s="66" t="n">
        <x:f>IF('Assumptions'!$D$7&lt;&gt;"Ready","Not supplied",'Assumptions'!$D$29*0+SUM($D47:O47)-IF(O8&lt;='Assumptions'!$D$29,0,SUM($D47:INDEX($D47:$AA47,1,O8-'Assumptions'!$D$29))))</x:f>
        <x:v>336</x:v>
      </x:c>
      <x:c r="P69" s="66" t="n">
        <x:f>IF('Assumptions'!$D$7&lt;&gt;"Ready","Not supplied",'Assumptions'!$D$29*0+SUM($D47:P47)-IF(P8&lt;='Assumptions'!$D$29,0,SUM($D47:INDEX($D47:$AA47,1,P8-'Assumptions'!$D$29))))</x:f>
        <x:v>336</x:v>
      </x:c>
      <x:c r="Q69" s="66" t="n">
        <x:f>IF('Assumptions'!$D$7&lt;&gt;"Ready","Not supplied",'Assumptions'!$D$29*0+SUM($D47:Q47)-IF(Q8&lt;='Assumptions'!$D$29,0,SUM($D47:INDEX($D47:$AA47,1,Q8-'Assumptions'!$D$29))))</x:f>
        <x:v>336</x:v>
      </x:c>
      <x:c r="R69" s="66" t="n">
        <x:f>IF('Assumptions'!$D$7&lt;&gt;"Ready","Not supplied",'Assumptions'!$D$29*0+SUM($D47:R47)-IF(R8&lt;='Assumptions'!$D$29,0,SUM($D47:INDEX($D47:$AA47,1,R8-'Assumptions'!$D$29))))</x:f>
        <x:v>336</x:v>
      </x:c>
      <x:c r="S69" s="66" t="n">
        <x:f>IF('Assumptions'!$D$7&lt;&gt;"Ready","Not supplied",'Assumptions'!$D$29*0+SUM($D47:S47)-IF(S8&lt;='Assumptions'!$D$29,0,SUM($D47:INDEX($D47:$AA47,1,S8-'Assumptions'!$D$29))))</x:f>
        <x:v>336</x:v>
      </x:c>
      <x:c r="T69" s="66" t="n">
        <x:f>IF('Assumptions'!$D$7&lt;&gt;"Ready","Not supplied",'Assumptions'!$D$29*0+SUM($D47:T47)-IF(T8&lt;='Assumptions'!$D$29,0,SUM($D47:INDEX($D47:$AA47,1,T8-'Assumptions'!$D$29))))</x:f>
        <x:v>336</x:v>
      </x:c>
      <x:c r="U69" s="66" t="n">
        <x:f>IF('Assumptions'!$D$7&lt;&gt;"Ready","Not supplied",'Assumptions'!$D$29*0+SUM($D47:U47)-IF(U8&lt;='Assumptions'!$D$29,0,SUM($D47:INDEX($D47:$AA47,1,U8-'Assumptions'!$D$29))))</x:f>
        <x:v>336</x:v>
      </x:c>
      <x:c r="V69" s="66" t="n">
        <x:f>IF('Assumptions'!$D$7&lt;&gt;"Ready","Not supplied",'Assumptions'!$D$29*0+SUM($D47:V47)-IF(V8&lt;='Assumptions'!$D$29,0,SUM($D47:INDEX($D47:$AA47,1,V8-'Assumptions'!$D$29))))</x:f>
        <x:v>336</x:v>
      </x:c>
      <x:c r="W69" s="66" t="n">
        <x:f>IF('Assumptions'!$D$7&lt;&gt;"Ready","Not supplied",'Assumptions'!$D$29*0+SUM($D47:W47)-IF(W8&lt;='Assumptions'!$D$29,0,SUM($D47:INDEX($D47:$AA47,1,W8-'Assumptions'!$D$29))))</x:f>
        <x:v>336</x:v>
      </x:c>
      <x:c r="X69" s="66" t="n">
        <x:f>IF('Assumptions'!$D$7&lt;&gt;"Ready","Not supplied",'Assumptions'!$D$29*0+SUM($D47:X47)-IF(X8&lt;='Assumptions'!$D$29,0,SUM($D47:INDEX($D47:$AA47,1,X8-'Assumptions'!$D$29))))</x:f>
        <x:v>336</x:v>
      </x:c>
      <x:c r="Y69" s="66" t="n">
        <x:f>IF('Assumptions'!$D$7&lt;&gt;"Ready","Not supplied",'Assumptions'!$D$29*0+SUM($D47:Y47)-IF(Y8&lt;='Assumptions'!$D$29,0,SUM($D47:INDEX($D47:$AA47,1,Y8-'Assumptions'!$D$29))))</x:f>
        <x:v>336</x:v>
      </x:c>
      <x:c r="Z69" s="66" t="n">
        <x:f>IF('Assumptions'!$D$7&lt;&gt;"Ready","Not supplied",'Assumptions'!$D$29*0+SUM($D47:Z47)-IF(Z8&lt;='Assumptions'!$D$29,0,SUM($D47:INDEX($D47:$AA47,1,Z8-'Assumptions'!$D$29))))</x:f>
        <x:v>336</x:v>
      </x:c>
      <x:c r="AA69" s="66" t="n">
        <x:f>IF('Assumptions'!$D$7&lt;&gt;"Ready","Not supplied",'Assumptions'!$D$29*0+SUM($D47:AA47)-IF(AA8&lt;='Assumptions'!$D$29,0,SUM($D47:INDEX($D47:$AA47,1,AA8-'Assumptions'!$D$29))))</x:f>
        <x:v>336</x:v>
      </x:c>
    </x:row>
    <x:row r="70" ht="21" customHeight="1">
      <x:c r="A70" s="50"/>
      <x:c r="B70" s="50"/>
      <x:c r="C70" s="50" t="str">
        <x:v>Change in incremental working capital</x:v>
      </x:c>
      <x:c r="D70" s="66" t="n">
        <x:f>IF('Assumptions'!$D$7&lt;&gt;"Ready","Not supplied",SUM(D68:D69)-0)</x:f>
        <x:v>0</x:v>
      </x:c>
      <x:c r="E70" s="66" t="n">
        <x:f>IF('Assumptions'!$D$7&lt;&gt;"Ready","Not supplied",SUM(E68:E69)-SUM(D68:D69))</x:f>
        <x:v>0</x:v>
      </x:c>
      <x:c r="F70" s="66" t="n">
        <x:f>IF('Assumptions'!$D$7&lt;&gt;"Ready","Not supplied",SUM(F68:F69)-SUM(E68:E69))</x:f>
        <x:v>164.72886082560103</x:v>
      </x:c>
      <x:c r="G70" s="66" t="n">
        <x:f>IF('Assumptions'!$D$7&lt;&gt;"Ready","Not supplied",SUM(G68:G69)-SUM(F68:F69))</x:f>
        <x:v>169.7808368377614</x:v>
      </x:c>
      <x:c r="H70" s="66" t="n">
        <x:f>IF('Assumptions'!$D$7&lt;&gt;"Ready","Not supplied",SUM(H68:H69)-SUM(G68:G69))</x:f>
        <x:v>174.83147792075056</x:v>
      </x:c>
      <x:c r="I70" s="66" t="n">
        <x:f>IF('Assumptions'!$D$7&lt;&gt;"Ready","Not supplied",SUM(I68:I69)-SUM(H68:H69))</x:f>
        <x:v>179.88212429482974</x:v>
      </x:c>
      <x:c r="J70" s="66" t="n">
        <x:f>IF('Assumptions'!$D$7&lt;&gt;"Ready","Not supplied",SUM(J68:J69)-SUM(I68:I69))</x:f>
        <x:v>12.033839045596324</x:v>
      </x:c>
      <x:c r="K70" s="66" t="n">
        <x:f>IF('Assumptions'!$D$7&lt;&gt;"Ready","Not supplied",SUM(K68:K69)-SUM(J68:J69))</x:f>
        <x:v>11.793162264685634</x:v>
      </x:c>
      <x:c r="L70" s="66" t="n">
        <x:f>IF('Assumptions'!$D$7&lt;&gt;"Ready","Not supplied",SUM(L68:L69)-SUM(K68:K69))</x:f>
        <x:v>11.557299019390484</x:v>
      </x:c>
      <x:c r="M70" s="66" t="n">
        <x:f>IF('Assumptions'!$D$7&lt;&gt;"Ready","Not supplied",SUM(M68:M69)-SUM(L68:L69))</x:f>
        <x:v>11.326153039003657</x:v>
      </x:c>
      <x:c r="N70" s="66" t="n">
        <x:f>IF('Assumptions'!$D$7&lt;&gt;"Ready","Not supplied",SUM(N68:N69)-SUM(M68:M69))</x:f>
        <x:v>11.099629978223675</x:v>
      </x:c>
      <x:c r="O70" s="66" t="n">
        <x:f>IF('Assumptions'!$D$7&lt;&gt;"Ready","Not supplied",SUM(O68:O69)-SUM(N68:N69))</x:f>
        <x:v>10.877637378659529</x:v>
      </x:c>
      <x:c r="P70" s="66" t="n">
        <x:f>IF('Assumptions'!$D$7&lt;&gt;"Ready","Not supplied",SUM(P68:P69)-SUM(O68:O69))</x:f>
        <x:v>10.660084631085738</x:v>
      </x:c>
      <x:c r="Q70" s="66" t="n">
        <x:f>IF('Assumptions'!$D$7&lt;&gt;"Ready","Not supplied",SUM(Q68:Q69)-SUM(P68:P69))</x:f>
        <x:v>10.44688293846275</x:v>
      </x:c>
      <x:c r="R70" s="66" t="n">
        <x:f>IF('Assumptions'!$D$7&lt;&gt;"Ready","Not supplied",SUM(R68:R69)-SUM(Q68:Q69))</x:f>
        <x:v>10.237945279695396</x:v>
      </x:c>
      <x:c r="S70" s="66" t="n">
        <x:f>IF('Assumptions'!$D$7&lt;&gt;"Ready","Not supplied",SUM(S68:S69)-SUM(R68:R69))</x:f>
        <x:v>10.03318637410166</x:v>
      </x:c>
      <x:c r="T70" s="66" t="n">
        <x:f>IF('Assumptions'!$D$7&lt;&gt;"Ready","Not supplied",SUM(T68:T69)-SUM(S68:S69))</x:f>
        <x:v>9.8325226466186</x:v>
      </x:c>
      <x:c r="U70" s="66" t="n">
        <x:f>IF('Assumptions'!$D$7&lt;&gt;"Ready","Not supplied",SUM(U68:U69)-SUM(T68:T69))</x:f>
        <x:v>9.635872193686282</x:v>
      </x:c>
      <x:c r="V70" s="66" t="n">
        <x:f>IF('Assumptions'!$D$7&lt;&gt;"Ready","Not supplied",SUM(V68:V69)-SUM(U68:U69))</x:f>
        <x:v>9.443154749812493</x:v>
      </x:c>
      <x:c r="W70" s="66" t="n">
        <x:f>IF('Assumptions'!$D$7&lt;&gt;"Ready","Not supplied",SUM(W68:W69)-SUM(V68:V69))</x:f>
        <x:v>9.25429165481819</x:v>
      </x:c>
      <x:c r="X70" s="66" t="n">
        <x:f>IF('Assumptions'!$D$7&lt;&gt;"Ready","Not supplied",SUM(X68:X69)-SUM(W68:W69))</x:f>
        <x:v>9.069205821719152</x:v>
      </x:c>
      <x:c r="Y70" s="66" t="n">
        <x:f>IF('Assumptions'!$D$7&lt;&gt;"Ready","Not supplied",SUM(Y68:Y69)-SUM(X68:X69))</x:f>
        <x:v>8.887821705285205</x:v>
      </x:c>
      <x:c r="Z70" s="66" t="n">
        <x:f>IF('Assumptions'!$D$7&lt;&gt;"Ready","Not supplied",SUM(Z68:Z69)-SUM(Y68:Y69))</x:f>
        <x:v>8.710065271179701</x:v>
      </x:c>
      <x:c r="AA70" s="66" t="n">
        <x:f>IF('Assumptions'!$D$7&lt;&gt;"Ready","Not supplied",SUM(AA68:AA69)-SUM(Z68:Z69))</x:f>
        <x:v>8.535863965757017</x:v>
      </x:c>
    </x:row>
    <x:row r="71" ht="21" customHeight="1">
      <x:c r="A71" s="50"/>
      <x:c r="B71" s="50"/>
      <x:c r="C71" s="56" t="str">
        <x:v>Incremental operating cash proxy</x:v>
      </x:c>
      <x:c r="D71" s="78" t="n">
        <x:f>IF('Assumptions'!$D$7&lt;&gt;"Ready","Not supplied",D66-D67-D70)</x:f>
        <x:v>-2700</x:v>
      </x:c>
      <x:c r="E71" s="78" t="n">
        <x:f>IF('Assumptions'!$D$7&lt;&gt;"Ready","Not supplied",E66-E67-E70)</x:f>
        <x:v>0</x:v>
      </x:c>
      <x:c r="F71" s="78" t="n">
        <x:f>IF('Assumptions'!$D$7&lt;&gt;"Ready","Not supplied",F66-F67-F70)</x:f>
        <x:v>-3959.9851173580764</x:v>
      </x:c>
      <x:c r="G71" s="78" t="n">
        <x:f>IF('Assumptions'!$D$7&lt;&gt;"Ready","Not supplied",G66-G67-G70)</x:f>
        <x:v>-991.2752866385877</x:v>
      </x:c>
      <x:c r="H71" s="78" t="n">
        <x:f>IF('Assumptions'!$D$7&lt;&gt;"Ready","Not supplied",H66-H67-H70)</x:f>
        <x:v>-703.5410732119983</x:v>
      </x:c>
      <x:c r="I71" s="78" t="n">
        <x:f>IF('Assumptions'!$D$7&lt;&gt;"Ready","Not supplied",I66-I67-I70)</x:f>
        <x:v>-396.7738140096417</x:v>
      </x:c>
      <x:c r="J71" s="78" t="n">
        <x:f>IF('Assumptions'!$D$7&lt;&gt;"Ready","Not supplied",J66-J67-J70)</x:f>
        <x:v>-183.98005297018608</x:v>
      </x:c>
      <x:c r="K71" s="78" t="n">
        <x:f>IF('Assumptions'!$D$7&lt;&gt;"Ready","Not supplied",K66-K67-K70)</x:f>
        <x:v>-139.69280991484538</x:v>
      </x:c>
      <x:c r="L71" s="78" t="n">
        <x:f>IF('Assumptions'!$D$7&lt;&gt;"Ready","Not supplied",L66-L67-L70)</x:f>
        <x:v>-96.29131172061898</x:v>
      </x:c>
      <x:c r="M71" s="78" t="n">
        <x:f>IF('Assumptions'!$D$7&lt;&gt;"Ready","Not supplied",M66-M67-M70)</x:f>
        <x:v>-53.75784349027981</x:v>
      </x:c>
      <x:c r="N71" s="78" t="n">
        <x:f>IF('Assumptions'!$D$7&lt;&gt;"Ready","Not supplied",N66-N67-N70)</x:f>
        <x:v>-12.075044624540169</x:v>
      </x:c>
      <x:c r="O71" s="78" t="n">
        <x:f>IF('Assumptions'!$D$7&lt;&gt;"Ready","Not supplied",O66-O67-O70)</x:f>
        <x:v>28.77409826388157</x:v>
      </x:c>
      <x:c r="P71" s="78" t="n">
        <x:f>IF('Assumptions'!$D$7&lt;&gt;"Ready","Not supplied",P66-P67-P70)</x:f>
        <x:v>68.80625829453402</x:v>
      </x:c>
      <x:c r="Q71" s="78" t="n">
        <x:f>IF('Assumptions'!$D$7&lt;&gt;"Ready","Not supplied",Q66-Q67-Q70)</x:f>
        <x:v>108.03777512457373</x:v>
      </x:c>
      <x:c r="R71" s="78" t="n">
        <x:f>IF('Assumptions'!$D$7&lt;&gt;"Ready","Not supplied",R66-R67-R70)</x:f>
        <x:v>146.48466161801525</x:v>
      </x:c>
      <x:c r="S71" s="78" t="n">
        <x:f>IF('Assumptions'!$D$7&lt;&gt;"Ready","Not supplied",S66-S67-S70)</x:f>
        <x:v>184.16261038157563</x:v>
      </x:c>
      <x:c r="T71" s="78" t="n">
        <x:f>IF('Assumptions'!$D$7&lt;&gt;"Ready","Not supplied",T66-T67-T70)</x:f>
        <x:v>221.08700016988223</x:v>
      </x:c>
      <x:c r="U71" s="78" t="n">
        <x:f>IF('Assumptions'!$D$7&lt;&gt;"Ready","Not supplied",U66-U67-U70)</x:f>
        <x:v>257.2729021624168</x:v>
      </x:c>
      <x:c r="V71" s="78" t="n">
        <x:f>IF('Assumptions'!$D$7&lt;&gt;"Ready","Not supplied",V66-V67-V70)</x:f>
        <x:v>292.7350861150853</x:v>
      </x:c>
      <x:c r="W71" s="78" t="n">
        <x:f>IF('Assumptions'!$D$7&lt;&gt;"Ready","Not supplied",W66-W67-W70)</x:f>
        <x:v>327.48802638872166</x:v>
      </x:c>
      <x:c r="X71" s="78" t="n">
        <x:f>IF('Assumptions'!$D$7&lt;&gt;"Ready","Not supplied",X66-X67-X70)</x:f>
        <x:v>361.5459078568838</x:v>
      </x:c>
      <x:c r="Y71" s="78" t="n">
        <x:f>IF('Assumptions'!$D$7&lt;&gt;"Ready","Not supplied",Y66-Y67-Y70)</x:f>
        <x:v>394.9226316956765</x:v>
      </x:c>
      <x:c r="Z71" s="78" t="n">
        <x:f>IF('Assumptions'!$D$7&lt;&gt;"Ready","Not supplied",Z66-Z67-Z70)</x:f>
        <x:v>427.63182105769556</x:v>
      </x:c>
      <x:c r="AA71" s="78" t="n">
        <x:f>IF('Assumptions'!$D$7&lt;&gt;"Ready","Not supplied",AA66-AA67-AA70)</x:f>
        <x:v>459.6868266324673</x:v>
      </x:c>
    </x:row>
    <x:row r="72" ht="21" customHeight="1">
      <x:c r="A72" s="50"/>
      <x:c r="B72" s="50"/>
      <x:c r="C72" s="56" t="str">
        <x:v>Cumulative incremental cash</x:v>
      </x:c>
      <x:c r="D72" s="78" t="n">
        <x:f>IF('Assumptions'!$D$7&lt;&gt;"Ready","Not supplied",D71+0)</x:f>
        <x:v>-2700</x:v>
      </x:c>
      <x:c r="E72" s="78" t="n">
        <x:f>IF('Assumptions'!$D$7&lt;&gt;"Ready","Not supplied",E71+D72)</x:f>
        <x:v>-2700</x:v>
      </x:c>
      <x:c r="F72" s="78" t="n">
        <x:f>IF('Assumptions'!$D$7&lt;&gt;"Ready","Not supplied",F71+E72)</x:f>
        <x:v>-6659.985117358076</x:v>
      </x:c>
      <x:c r="G72" s="78" t="n">
        <x:f>IF('Assumptions'!$D$7&lt;&gt;"Ready","Not supplied",G71+F72)</x:f>
        <x:v>-7651.2604039966645</x:v>
      </x:c>
      <x:c r="H72" s="78" t="n">
        <x:f>IF('Assumptions'!$D$7&lt;&gt;"Ready","Not supplied",H71+G72)</x:f>
        <x:v>-8354.801477208663</x:v>
      </x:c>
      <x:c r="I72" s="78" t="n">
        <x:f>IF('Assumptions'!$D$7&lt;&gt;"Ready","Not supplied",I71+H72)</x:f>
        <x:v>-8751.575291218305</x:v>
      </x:c>
      <x:c r="J72" s="78" t="n">
        <x:f>IF('Assumptions'!$D$7&lt;&gt;"Ready","Not supplied",J71+I72)</x:f>
        <x:v>-8935.555344188491</x:v>
      </x:c>
      <x:c r="K72" s="78" t="n">
        <x:f>IF('Assumptions'!$D$7&lt;&gt;"Ready","Not supplied",K71+J72)</x:f>
        <x:v>-9075.248154103338</x:v>
      </x:c>
      <x:c r="L72" s="78" t="n">
        <x:f>IF('Assumptions'!$D$7&lt;&gt;"Ready","Not supplied",L71+K72)</x:f>
        <x:v>-9171.539465823957</x:v>
      </x:c>
      <x:c r="M72" s="78" t="n">
        <x:f>IF('Assumptions'!$D$7&lt;&gt;"Ready","Not supplied",M71+L72)</x:f>
        <x:v>-9225.297309314235</x:v>
      </x:c>
      <x:c r="N72" s="78" t="n">
        <x:f>IF('Assumptions'!$D$7&lt;&gt;"Ready","Not supplied",N71+M72)</x:f>
        <x:v>-9237.372353938776</x:v>
      </x:c>
      <x:c r="O72" s="78" t="n">
        <x:f>IF('Assumptions'!$D$7&lt;&gt;"Ready","Not supplied",O71+N72)</x:f>
        <x:v>-9208.598255674893</x:v>
      </x:c>
      <x:c r="P72" s="78" t="n">
        <x:f>IF('Assumptions'!$D$7&lt;&gt;"Ready","Not supplied",P71+O72)</x:f>
        <x:v>-9139.791997380358</x:v>
      </x:c>
      <x:c r="Q72" s="78" t="n">
        <x:f>IF('Assumptions'!$D$7&lt;&gt;"Ready","Not supplied",Q71+P72)</x:f>
        <x:v>-9031.754222255784</x:v>
      </x:c>
      <x:c r="R72" s="78" t="n">
        <x:f>IF('Assumptions'!$D$7&lt;&gt;"Ready","Not supplied",R71+Q72)</x:f>
        <x:v>-8885.26956063777</x:v>
      </x:c>
      <x:c r="S72" s="78" t="n">
        <x:f>IF('Assumptions'!$D$7&lt;&gt;"Ready","Not supplied",S71+R72)</x:f>
        <x:v>-8701.106950256193</x:v>
      </x:c>
      <x:c r="T72" s="78" t="n">
        <x:f>IF('Assumptions'!$D$7&lt;&gt;"Ready","Not supplied",T71+S72)</x:f>
        <x:v>-8480.019950086311</x:v>
      </x:c>
      <x:c r="U72" s="78" t="n">
        <x:f>IF('Assumptions'!$D$7&lt;&gt;"Ready","Not supplied",U71+T72)</x:f>
        <x:v>-8222.747047923895</x:v>
      </x:c>
      <x:c r="V72" s="78" t="n">
        <x:f>IF('Assumptions'!$D$7&lt;&gt;"Ready","Not supplied",V71+U72)</x:f>
        <x:v>-7930.011961808809</x:v>
      </x:c>
      <x:c r="W72" s="78" t="n">
        <x:f>IF('Assumptions'!$D$7&lt;&gt;"Ready","Not supplied",W71+V72)</x:f>
        <x:v>-7602.523935420088</x:v>
      </x:c>
      <x:c r="X72" s="78" t="n">
        <x:f>IF('Assumptions'!$D$7&lt;&gt;"Ready","Not supplied",X71+W72)</x:f>
        <x:v>-7240.978027563204</x:v>
      </x:c>
      <x:c r="Y72" s="78" t="n">
        <x:f>IF('Assumptions'!$D$7&lt;&gt;"Ready","Not supplied",Y71+X72)</x:f>
        <x:v>-6846.055395867527</x:v>
      </x:c>
      <x:c r="Z72" s="78" t="n">
        <x:f>IF('Assumptions'!$D$7&lt;&gt;"Ready","Not supplied",Z71+Y72)</x:f>
        <x:v>-6418.423574809832</x:v>
      </x:c>
      <x:c r="AA72" s="78" t="n">
        <x:f>IF('Assumptions'!$D$7&lt;&gt;"Ready","Not supplied",AA71+Z72)</x:f>
        <x:v>-5958.7367481773645</x:v>
      </x:c>
    </x:row>
    <x:row r="73" ht="21" customHeight="1">
      <x:c r="A73" s="50"/>
      <x:c r="B73" s="50"/>
      <x:c r="C73" s="50" t="str">
        <x:v>Discounted incremental cash</x:v>
      </x:c>
      <x:c r="D73" s="66" t="n">
        <x:f>IF('Assumptions'!$D$7&lt;&gt;"Ready","Not supplied",D71/(1+'Assumptions'!$D$31)^(D8/12))</x:f>
        <x:v>-2674.6210744461087</x:v>
      </x:c>
      <x:c r="E73" s="66" t="n">
        <x:f>IF('Assumptions'!$D$7&lt;&gt;"Ready","Not supplied",E71/(1+'Assumptions'!$D$31)^(E8/12))</x:f>
        <x:v>0</x:v>
      </x:c>
      <x:c r="F73" s="66" t="n">
        <x:f>IF('Assumptions'!$D$7&lt;&gt;"Ready","Not supplied",F71/(1+'Assumptions'!$D$31)^(F8/12))</x:f>
        <x:v>-3849.3645998900633</x:v>
      </x:c>
      <x:c r="G73" s="66" t="n">
        <x:f>IF('Assumptions'!$D$7&lt;&gt;"Ready","Not supplied",G71/(1+'Assumptions'!$D$31)^(G8/12))</x:f>
        <x:v>-954.5271185625438</x:v>
      </x:c>
      <x:c r="H73" s="66" t="n">
        <x:f>IF('Assumptions'!$D$7&lt;&gt;"Ready","Not supplied",H71/(1+'Assumptions'!$D$31)^(H8/12))</x:f>
        <x:v>-671.0918235271572</x:v>
      </x:c>
      <x:c r="I73" s="66" t="n">
        <x:f>IF('Assumptions'!$D$7&lt;&gt;"Ready","Not supplied",I71/(1+'Assumptions'!$D$31)^(I8/12))</x:f>
        <x:v>-374.91601379003833</x:v>
      </x:c>
      <x:c r="J73" s="66" t="n">
        <x:f>IF('Assumptions'!$D$7&lt;&gt;"Ready","Not supplied",J71/(1+'Assumptions'!$D$31)^(J8/12))</x:f>
        <x:v>-172.21073738456127</x:v>
      </x:c>
      <x:c r="K73" s="66" t="n">
        <x:f>IF('Assumptions'!$D$7&lt;&gt;"Ready","Not supplied",K71/(1+'Assumptions'!$D$31)^(K8/12))</x:f>
        <x:v>-129.52751634890038</x:v>
      </x:c>
      <x:c r="L73" s="66" t="n">
        <x:f>IF('Assumptions'!$D$7&lt;&gt;"Ready","Not supplied",L71/(1+'Assumptions'!$D$31)^(L8/12))</x:f>
        <x:v>-88.44506101721043</x:v>
      </x:c>
      <x:c r="M73" s="66" t="n">
        <x:f>IF('Assumptions'!$D$7&lt;&gt;"Ready","Not supplied",M71/(1+'Assumptions'!$D$31)^(M8/12))</x:f>
        <x:v>-48.9132837379455</x:v>
      </x:c>
      <x:c r="N73" s="66" t="n">
        <x:f>IF('Assumptions'!$D$7&lt;&gt;"Ready","Not supplied",N71/(1+'Assumptions'!$D$31)^(N8/12))</x:f>
        <x:v>-10.883591270230607</x:v>
      </x:c>
      <x:c r="O73" s="66" t="n">
        <x:f>IF('Assumptions'!$D$7&lt;&gt;"Ready","Not supplied",O71/(1+'Assumptions'!$D$31)^(O8/12))</x:f>
        <x:v>25.69115916417997</x:v>
      </x:c>
      <x:c r="P73" s="66" t="n">
        <x:f>IF('Assumptions'!$D$7&lt;&gt;"Ready","Not supplied",P71/(1+'Assumptions'!$D$31)^(P8/12))</x:f>
        <x:v>60.85670254244148</x:v>
      </x:c>
      <x:c r="Q73" s="66" t="n">
        <x:f>IF('Assumptions'!$D$7&lt;&gt;"Ready","Not supplied",Q71/(1+'Assumptions'!$D$31)^(Q8/12))</x:f>
        <x:v>94.65740745316623</x:v>
      </x:c>
      <x:c r="R73" s="66" t="n">
        <x:f>IF('Assumptions'!$D$7&lt;&gt;"Ready","Not supplied",R71/(1+'Assumptions'!$D$31)^(R8/12))</x:f>
        <x:v>127.13631629654715</x:v>
      </x:c>
      <x:c r="S73" s="66" t="n">
        <x:f>IF('Assumptions'!$D$7&lt;&gt;"Ready","Not supplied",S71/(1+'Assumptions'!$D$31)^(S8/12))</x:f>
        <x:v>158.33518430746778</x:v>
      </x:c>
      <x:c r="T73" s="66" t="n">
        <x:f>IF('Assumptions'!$D$7&lt;&gt;"Ready","Not supplied",T71/(1+'Assumptions'!$D$31)^(T8/12))</x:f>
        <x:v>188.2945174360931</x:v>
      </x:c>
      <x:c r="U73" s="66" t="n">
        <x:f>IF('Assumptions'!$D$7&lt;&gt;"Ready","Not supplied",U71/(1+'Assumptions'!$D$31)^(U8/12))</x:f>
        <x:v>217.05360911913468</x:v>
      </x:c>
      <x:c r="V73" s="66" t="n">
        <x:f>IF('Assumptions'!$D$7&lt;&gt;"Ready","Not supplied",V71/(1+'Assumptions'!$D$31)^(V8/12))</x:f>
        <x:v>244.6505759744992</x:v>
      </x:c>
      <x:c r="W73" s="66" t="n">
        <x:f>IF('Assumptions'!$D$7&lt;&gt;"Ready","Not supplied",W71/(1+'Assumptions'!$D$31)^(W8/12))</x:f>
        <x:v>271.1223924506211</x:v>
      </x:c>
      <x:c r="X73" s="66" t="n">
        <x:f>IF('Assumptions'!$D$7&lt;&gt;"Ready","Not supplied",X71/(1+'Assumptions'!$D$31)^(X8/12))</x:f>
        <x:v>296.504924460957</x:v>
      </x:c>
      <x:c r="Y73" s="66" t="n">
        <x:f>IF('Assumptions'!$D$7&lt;&gt;"Ready","Not supplied",Y71/(1+'Assumptions'!$D$31)^(Y8/12))</x:f>
        <x:v>320.8329620335768</x:v>
      </x:c>
      <x:c r="Z73" s="66" t="n">
        <x:f>IF('Assumptions'!$D$7&lt;&gt;"Ready","Not supplied",Z71/(1+'Assumptions'!$D$31)^(Z8/12))</x:f>
        <x:v>344.1402510044249</x:v>
      </x:c>
      <x:c r="AA73" s="66" t="n">
        <x:f>IF('Assumptions'!$D$7&lt;&gt;"Ready","Not supplied",AA71/(1+'Assumptions'!$D$31)^(AA8/12))</x:f>
        <x:v>366.4595237822602</x:v>
      </x:c>
    </x:row>
    <x:row r="74" ht="21" customHeight="1">
      <x:c r="A74" s="50"/>
      <x:c r="B74" s="50"/>
      <x:c r="C74" s="56" t="str">
        <x:v>Cumulative pilot investment</x:v>
      </x:c>
      <x:c r="D74" s="78" t="n">
        <x:f>IF('Assumptions'!$D$7&lt;&gt;"Ready","Not supplied",SUM(D58:D60,D67)+0)</x:f>
        <x:v>2700</x:v>
      </x:c>
      <x:c r="E74" s="78" t="n">
        <x:f>IF('Assumptions'!$D$7&lt;&gt;"Ready","Not supplied",SUM(E58:E60,E67)+D74)</x:f>
        <x:v>2700</x:v>
      </x:c>
      <x:c r="F74" s="78" t="n">
        <x:f>IF('Assumptions'!$D$7&lt;&gt;"Ready","Not supplied",SUM(F58:F60,F67)+E74)</x:f>
        <x:v>6750</x:v>
      </x:c>
      <x:c r="G74" s="78" t="n">
        <x:f>IF('Assumptions'!$D$7&lt;&gt;"Ready","Not supplied",SUM(G58:G60,G67)+F74)</x:f>
        <x:v>8100</x:v>
      </x:c>
      <x:c r="H74" s="78" t="n">
        <x:f>IF('Assumptions'!$D$7&lt;&gt;"Ready","Not supplied",SUM(H58:H60,H67)+G74)</x:f>
        <x:v>9450</x:v>
      </x:c>
      <x:c r="I74" s="78" t="n">
        <x:f>IF('Assumptions'!$D$7&lt;&gt;"Ready","Not supplied",SUM(I58:I60,I67)+H74)</x:f>
        <x:v>10800</x:v>
      </x:c>
      <x:c r="J74" s="78" t="n">
        <x:f>IF('Assumptions'!$D$7&lt;&gt;"Ready","Not supplied",SUM(J58:J60,J67)+I74)</x:f>
        <x:v>12150</x:v>
      </x:c>
      <x:c r="K74" s="78" t="n">
        <x:f>IF('Assumptions'!$D$7&lt;&gt;"Ready","Not supplied",SUM(K58:K60,K67)+J74)</x:f>
        <x:v>13500</x:v>
      </x:c>
      <x:c r="L74" s="78" t="n">
        <x:f>IF('Assumptions'!$D$7&lt;&gt;"Ready","Not supplied",SUM(L58:L60,L67)+K74)</x:f>
        <x:v>14850</x:v>
      </x:c>
      <x:c r="M74" s="78" t="n">
        <x:f>IF('Assumptions'!$D$7&lt;&gt;"Ready","Not supplied",SUM(M58:M60,M67)+L74)</x:f>
        <x:v>16200</x:v>
      </x:c>
      <x:c r="N74" s="78" t="n">
        <x:f>IF('Assumptions'!$D$7&lt;&gt;"Ready","Not supplied",SUM(N58:N60,N67)+M74)</x:f>
        <x:v>17550</x:v>
      </x:c>
      <x:c r="O74" s="78" t="n">
        <x:f>IF('Assumptions'!$D$7&lt;&gt;"Ready","Not supplied",SUM(O58:O60,O67)+N74)</x:f>
        <x:v>18900</x:v>
      </x:c>
      <x:c r="P74" s="78" t="n">
        <x:f>IF('Assumptions'!$D$7&lt;&gt;"Ready","Not supplied",SUM(P58:P60,P67)+O74)</x:f>
        <x:v>20250</x:v>
      </x:c>
      <x:c r="Q74" s="78" t="n">
        <x:f>IF('Assumptions'!$D$7&lt;&gt;"Ready","Not supplied",SUM(Q58:Q60,Q67)+P74)</x:f>
        <x:v>21600</x:v>
      </x:c>
      <x:c r="R74" s="78" t="n">
        <x:f>IF('Assumptions'!$D$7&lt;&gt;"Ready","Not supplied",SUM(R58:R60,R67)+Q74)</x:f>
        <x:v>22950</x:v>
      </x:c>
      <x:c r="S74" s="78" t="n">
        <x:f>IF('Assumptions'!$D$7&lt;&gt;"Ready","Not supplied",SUM(S58:S60,S67)+R74)</x:f>
        <x:v>24300</x:v>
      </x:c>
      <x:c r="T74" s="78" t="n">
        <x:f>IF('Assumptions'!$D$7&lt;&gt;"Ready","Not supplied",SUM(T58:T60,T67)+S74)</x:f>
        <x:v>25650</x:v>
      </x:c>
      <x:c r="U74" s="78" t="n">
        <x:f>IF('Assumptions'!$D$7&lt;&gt;"Ready","Not supplied",SUM(U58:U60,U67)+T74)</x:f>
        <x:v>27000</x:v>
      </x:c>
      <x:c r="V74" s="78" t="n">
        <x:f>IF('Assumptions'!$D$7&lt;&gt;"Ready","Not supplied",SUM(V58:V60,V67)+U74)</x:f>
        <x:v>28350</x:v>
      </x:c>
      <x:c r="W74" s="78" t="n">
        <x:f>IF('Assumptions'!$D$7&lt;&gt;"Ready","Not supplied",SUM(W58:W60,W67)+V74)</x:f>
        <x:v>29700</x:v>
      </x:c>
      <x:c r="X74" s="78" t="n">
        <x:f>IF('Assumptions'!$D$7&lt;&gt;"Ready","Not supplied",SUM(X58:X60,X67)+W74)</x:f>
        <x:v>31050</x:v>
      </x:c>
      <x:c r="Y74" s="78" t="n">
        <x:f>IF('Assumptions'!$D$7&lt;&gt;"Ready","Not supplied",SUM(Y58:Y60,Y67)+X74)</x:f>
        <x:v>32400</x:v>
      </x:c>
      <x:c r="Z74" s="78" t="n">
        <x:f>IF('Assumptions'!$D$7&lt;&gt;"Ready","Not supplied",SUM(Z58:Z60,Z67)+Y74)</x:f>
        <x:v>33750</x:v>
      </x:c>
      <x:c r="AA74" s="78" t="n">
        <x:f>IF('Assumptions'!$D$7&lt;&gt;"Ready","Not supplied",SUM(AA58:AA60,AA67)+Z74)</x:f>
        <x:v>35100</x:v>
      </x:c>
    </x:row>
    <x:row r="75" ht="21" customHeight="1">
      <x:c r="A75" s="50"/>
      <x:c r="B75" s="50"/>
      <x:c r="C75" s="50" t="str">
        <x:v>Payback candidate month</x:v>
      </x:c>
      <x:c r="D75" s="66" t="n">
        <x:f>IF('Assumptions'!$D$7&lt;&gt;"Ready","Not supplied",IF(AND(D72&gt;=0,D74&gt;0),D8,999))</x:f>
        <x:v>999</x:v>
      </x:c>
      <x:c r="E75" s="66" t="n">
        <x:f>IF('Assumptions'!$D$7&lt;&gt;"Ready","Not supplied",IF(AND(E72&gt;=0,E74&gt;0),E8,999))</x:f>
        <x:v>999</x:v>
      </x:c>
      <x:c r="F75" s="66" t="n">
        <x:f>IF('Assumptions'!$D$7&lt;&gt;"Ready","Not supplied",IF(AND(F72&gt;=0,F74&gt;0),F8,999))</x:f>
        <x:v>999</x:v>
      </x:c>
      <x:c r="G75" s="66" t="n">
        <x:f>IF('Assumptions'!$D$7&lt;&gt;"Ready","Not supplied",IF(AND(G72&gt;=0,G74&gt;0),G8,999))</x:f>
        <x:v>999</x:v>
      </x:c>
      <x:c r="H75" s="66" t="n">
        <x:f>IF('Assumptions'!$D$7&lt;&gt;"Ready","Not supplied",IF(AND(H72&gt;=0,H74&gt;0),H8,999))</x:f>
        <x:v>999</x:v>
      </x:c>
      <x:c r="I75" s="66" t="n">
        <x:f>IF('Assumptions'!$D$7&lt;&gt;"Ready","Not supplied",IF(AND(I72&gt;=0,I74&gt;0),I8,999))</x:f>
        <x:v>999</x:v>
      </x:c>
      <x:c r="J75" s="66" t="n">
        <x:f>IF('Assumptions'!$D$7&lt;&gt;"Ready","Not supplied",IF(AND(J72&gt;=0,J74&gt;0),J8,999))</x:f>
        <x:v>999</x:v>
      </x:c>
      <x:c r="K75" s="66" t="n">
        <x:f>IF('Assumptions'!$D$7&lt;&gt;"Ready","Not supplied",IF(AND(K72&gt;=0,K74&gt;0),K8,999))</x:f>
        <x:v>999</x:v>
      </x:c>
      <x:c r="L75" s="66" t="n">
        <x:f>IF('Assumptions'!$D$7&lt;&gt;"Ready","Not supplied",IF(AND(L72&gt;=0,L74&gt;0),L8,999))</x:f>
        <x:v>999</x:v>
      </x:c>
      <x:c r="M75" s="66" t="n">
        <x:f>IF('Assumptions'!$D$7&lt;&gt;"Ready","Not supplied",IF(AND(M72&gt;=0,M74&gt;0),M8,999))</x:f>
        <x:v>999</x:v>
      </x:c>
      <x:c r="N75" s="66" t="n">
        <x:f>IF('Assumptions'!$D$7&lt;&gt;"Ready","Not supplied",IF(AND(N72&gt;=0,N74&gt;0),N8,999))</x:f>
        <x:v>999</x:v>
      </x:c>
      <x:c r="O75" s="66" t="n">
        <x:f>IF('Assumptions'!$D$7&lt;&gt;"Ready","Not supplied",IF(AND(O72&gt;=0,O74&gt;0),O8,999))</x:f>
        <x:v>999</x:v>
      </x:c>
      <x:c r="P75" s="66" t="n">
        <x:f>IF('Assumptions'!$D$7&lt;&gt;"Ready","Not supplied",IF(AND(P72&gt;=0,P74&gt;0),P8,999))</x:f>
        <x:v>999</x:v>
      </x:c>
      <x:c r="Q75" s="66" t="n">
        <x:f>IF('Assumptions'!$D$7&lt;&gt;"Ready","Not supplied",IF(AND(Q72&gt;=0,Q74&gt;0),Q8,999))</x:f>
        <x:v>999</x:v>
      </x:c>
      <x:c r="R75" s="66" t="n">
        <x:f>IF('Assumptions'!$D$7&lt;&gt;"Ready","Not supplied",IF(AND(R72&gt;=0,R74&gt;0),R8,999))</x:f>
        <x:v>999</x:v>
      </x:c>
      <x:c r="S75" s="66" t="n">
        <x:f>IF('Assumptions'!$D$7&lt;&gt;"Ready","Not supplied",IF(AND(S72&gt;=0,S74&gt;0),S8,999))</x:f>
        <x:v>999</x:v>
      </x:c>
      <x:c r="T75" s="66" t="n">
        <x:f>IF('Assumptions'!$D$7&lt;&gt;"Ready","Not supplied",IF(AND(T72&gt;=0,T74&gt;0),T8,999))</x:f>
        <x:v>999</x:v>
      </x:c>
      <x:c r="U75" s="66" t="n">
        <x:f>IF('Assumptions'!$D$7&lt;&gt;"Ready","Not supplied",IF(AND(U72&gt;=0,U74&gt;0),U8,999))</x:f>
        <x:v>999</x:v>
      </x:c>
      <x:c r="V75" s="66" t="n">
        <x:f>IF('Assumptions'!$D$7&lt;&gt;"Ready","Not supplied",IF(AND(V72&gt;=0,V74&gt;0),V8,999))</x:f>
        <x:v>999</x:v>
      </x:c>
      <x:c r="W75" s="66" t="n">
        <x:f>IF('Assumptions'!$D$7&lt;&gt;"Ready","Not supplied",IF(AND(W72&gt;=0,W74&gt;0),W8,999))</x:f>
        <x:v>999</x:v>
      </x:c>
      <x:c r="X75" s="66" t="n">
        <x:f>IF('Assumptions'!$D$7&lt;&gt;"Ready","Not supplied",IF(AND(X72&gt;=0,X74&gt;0),X8,999))</x:f>
        <x:v>999</x:v>
      </x:c>
      <x:c r="Y75" s="66" t="n">
        <x:f>IF('Assumptions'!$D$7&lt;&gt;"Ready","Not supplied",IF(AND(Y72&gt;=0,Y74&gt;0),Y8,999))</x:f>
        <x:v>999</x:v>
      </x:c>
      <x:c r="Z75" s="66" t="n">
        <x:f>IF('Assumptions'!$D$7&lt;&gt;"Ready","Not supplied",IF(AND(Z72&gt;=0,Z74&gt;0),Z8,999))</x:f>
        <x:v>999</x:v>
      </x:c>
      <x:c r="AA75" s="66" t="n">
        <x:f>IF('Assumptions'!$D$7&lt;&gt;"Ready","Not supplied",IF(AND(AA72&gt;=0,AA74&gt;0),AA8,999))</x:f>
        <x:v>999</x:v>
      </x:c>
    </x:row>
    <x:row r="76" ht="21" customHeight="1">
      <x:c r="A76" s="50"/>
      <x:c r="B76" s="50"/>
      <x:c r="C76" s="50" t="str">
        <x:v>No-benefit operating cash downside</x:v>
      </x:c>
      <x:c r="D76" s="66" t="n">
        <x:f>IF('Assumptions'!$D$7&lt;&gt;"Ready","Not supplied",-SUM(D58:D59,D67)-'Assumptions'!$D$115*D11*D33*'Assumptions'!$D$120*'Assumptions'!$D$125*'Assumptions'!$D$6)</x:f>
        <x:v>-2700</x:v>
      </x:c>
      <x:c r="E76" s="66" t="n">
        <x:f>IF('Assumptions'!$D$7&lt;&gt;"Ready","Not supplied",-SUM(E58:E59,E67)-'Assumptions'!$D$115*E11*E33*'Assumptions'!$D$120*'Assumptions'!$D$125*'Assumptions'!$D$6)</x:f>
        <x:v>0</x:v>
      </x:c>
      <x:c r="F76" s="66" t="n">
        <x:f>IF('Assumptions'!$D$7&lt;&gt;"Ready","Not supplied",-SUM(F58:F59,F67)-'Assumptions'!$D$115*F11*F33*'Assumptions'!$D$120*'Assumptions'!$D$125*'Assumptions'!$D$6)</x:f>
        <x:v>-4050</x:v>
      </x:c>
      <x:c r="G76" s="66" t="n">
        <x:f>IF('Assumptions'!$D$7&lt;&gt;"Ready","Not supplied",-SUM(G58:G59,G67)-'Assumptions'!$D$115*G11*G33*'Assumptions'!$D$120*'Assumptions'!$D$125*'Assumptions'!$D$6)</x:f>
        <x:v>-1350</x:v>
      </x:c>
      <x:c r="H76" s="66" t="n">
        <x:f>IF('Assumptions'!$D$7&lt;&gt;"Ready","Not supplied",-SUM(H58:H59,H67)-'Assumptions'!$D$115*H11*H33*'Assumptions'!$D$120*'Assumptions'!$D$125*'Assumptions'!$D$6)</x:f>
        <x:v>-1350</x:v>
      </x:c>
      <x:c r="I76" s="66" t="n">
        <x:f>IF('Assumptions'!$D$7&lt;&gt;"Ready","Not supplied",-SUM(I58:I59,I67)-'Assumptions'!$D$115*I11*I33*'Assumptions'!$D$120*'Assumptions'!$D$125*'Assumptions'!$D$6)</x:f>
        <x:v>-1350</x:v>
      </x:c>
      <x:c r="J76" s="66" t="n">
        <x:f>IF('Assumptions'!$D$7&lt;&gt;"Ready","Not supplied",-SUM(J58:J59,J67)-'Assumptions'!$D$115*J11*J33*'Assumptions'!$D$120*'Assumptions'!$D$125*'Assumptions'!$D$6)</x:f>
        <x:v>-1350</x:v>
      </x:c>
      <x:c r="K76" s="66" t="n">
        <x:f>IF('Assumptions'!$D$7&lt;&gt;"Ready","Not supplied",-SUM(K58:K59,K67)-'Assumptions'!$D$115*K11*K33*'Assumptions'!$D$120*'Assumptions'!$D$125*'Assumptions'!$D$6)</x:f>
        <x:v>-1350</x:v>
      </x:c>
      <x:c r="L76" s="66" t="n">
        <x:f>IF('Assumptions'!$D$7&lt;&gt;"Ready","Not supplied",-SUM(L58:L59,L67)-'Assumptions'!$D$115*L11*L33*'Assumptions'!$D$120*'Assumptions'!$D$125*'Assumptions'!$D$6)</x:f>
        <x:v>-1350</x:v>
      </x:c>
      <x:c r="M76" s="66" t="n">
        <x:f>IF('Assumptions'!$D$7&lt;&gt;"Ready","Not supplied",-SUM(M58:M59,M67)-'Assumptions'!$D$115*M11*M33*'Assumptions'!$D$120*'Assumptions'!$D$125*'Assumptions'!$D$6)</x:f>
        <x:v>-1350</x:v>
      </x:c>
      <x:c r="N76" s="66" t="n">
        <x:f>IF('Assumptions'!$D$7&lt;&gt;"Ready","Not supplied",-SUM(N58:N59,N67)-'Assumptions'!$D$115*N11*N33*'Assumptions'!$D$120*'Assumptions'!$D$125*'Assumptions'!$D$6)</x:f>
        <x:v>-1350</x:v>
      </x:c>
      <x:c r="O76" s="66" t="n">
        <x:f>IF('Assumptions'!$D$7&lt;&gt;"Ready","Not supplied",-SUM(O58:O59,O67)-'Assumptions'!$D$115*O11*O33*'Assumptions'!$D$120*'Assumptions'!$D$125*'Assumptions'!$D$6)</x:f>
        <x:v>-1350</x:v>
      </x:c>
      <x:c r="P76" s="66" t="n">
        <x:f>IF('Assumptions'!$D$7&lt;&gt;"Ready","Not supplied",-SUM(P58:P59,P67)-'Assumptions'!$D$115*P11*P33*'Assumptions'!$D$120*'Assumptions'!$D$125*'Assumptions'!$D$6)</x:f>
        <x:v>-1350</x:v>
      </x:c>
      <x:c r="Q76" s="66" t="n">
        <x:f>IF('Assumptions'!$D$7&lt;&gt;"Ready","Not supplied",-SUM(Q58:Q59,Q67)-'Assumptions'!$D$115*Q11*Q33*'Assumptions'!$D$120*'Assumptions'!$D$125*'Assumptions'!$D$6)</x:f>
        <x:v>-1350</x:v>
      </x:c>
      <x:c r="R76" s="66" t="n">
        <x:f>IF('Assumptions'!$D$7&lt;&gt;"Ready","Not supplied",-SUM(R58:R59,R67)-'Assumptions'!$D$115*R11*R33*'Assumptions'!$D$120*'Assumptions'!$D$125*'Assumptions'!$D$6)</x:f>
        <x:v>-1350</x:v>
      </x:c>
      <x:c r="S76" s="66" t="n">
        <x:f>IF('Assumptions'!$D$7&lt;&gt;"Ready","Not supplied",-SUM(S58:S59,S67)-'Assumptions'!$D$115*S11*S33*'Assumptions'!$D$120*'Assumptions'!$D$125*'Assumptions'!$D$6)</x:f>
        <x:v>-1350</x:v>
      </x:c>
      <x:c r="T76" s="66" t="n">
        <x:f>IF('Assumptions'!$D$7&lt;&gt;"Ready","Not supplied",-SUM(T58:T59,T67)-'Assumptions'!$D$115*T11*T33*'Assumptions'!$D$120*'Assumptions'!$D$125*'Assumptions'!$D$6)</x:f>
        <x:v>-1350</x:v>
      </x:c>
      <x:c r="U76" s="66" t="n">
        <x:f>IF('Assumptions'!$D$7&lt;&gt;"Ready","Not supplied",-SUM(U58:U59,U67)-'Assumptions'!$D$115*U11*U33*'Assumptions'!$D$120*'Assumptions'!$D$125*'Assumptions'!$D$6)</x:f>
        <x:v>-1350</x:v>
      </x:c>
      <x:c r="V76" s="66" t="n">
        <x:f>IF('Assumptions'!$D$7&lt;&gt;"Ready","Not supplied",-SUM(V58:V59,V67)-'Assumptions'!$D$115*V11*V33*'Assumptions'!$D$120*'Assumptions'!$D$125*'Assumptions'!$D$6)</x:f>
        <x:v>-1350</x:v>
      </x:c>
      <x:c r="W76" s="66" t="n">
        <x:f>IF('Assumptions'!$D$7&lt;&gt;"Ready","Not supplied",-SUM(W58:W59,W67)-'Assumptions'!$D$115*W11*W33*'Assumptions'!$D$120*'Assumptions'!$D$125*'Assumptions'!$D$6)</x:f>
        <x:v>-1350</x:v>
      </x:c>
      <x:c r="X76" s="66" t="n">
        <x:f>IF('Assumptions'!$D$7&lt;&gt;"Ready","Not supplied",-SUM(X58:X59,X67)-'Assumptions'!$D$115*X11*X33*'Assumptions'!$D$120*'Assumptions'!$D$125*'Assumptions'!$D$6)</x:f>
        <x:v>-1350</x:v>
      </x:c>
      <x:c r="Y76" s="66" t="n">
        <x:f>IF('Assumptions'!$D$7&lt;&gt;"Ready","Not supplied",-SUM(Y58:Y59,Y67)-'Assumptions'!$D$115*Y11*Y33*'Assumptions'!$D$120*'Assumptions'!$D$125*'Assumptions'!$D$6)</x:f>
        <x:v>-1350</x:v>
      </x:c>
      <x:c r="Z76" s="66" t="n">
        <x:f>IF('Assumptions'!$D$7&lt;&gt;"Ready","Not supplied",-SUM(Z58:Z59,Z67)-'Assumptions'!$D$115*Z11*Z33*'Assumptions'!$D$120*'Assumptions'!$D$125*'Assumptions'!$D$6)</x:f>
        <x:v>-1350</x:v>
      </x:c>
      <x:c r="AA76" s="66" t="n">
        <x:f>IF('Assumptions'!$D$7&lt;&gt;"Ready","Not supplied",-SUM(AA58:AA59,AA67)-'Assumptions'!$D$115*AA11*AA33*'Assumptions'!$D$120*'Assumptions'!$D$125*'Assumptions'!$D$6)</x:f>
        <x:v>-1350</x:v>
      </x:c>
    </x:row>
    <x:row r="77" ht="21" customHeight="1">
      <x:c r="A77" s="50"/>
      <x:c r="B77" s="50"/>
      <x:c r="C77" s="56" t="str">
        <x:v>Cumulative no-benefit cash</x:v>
      </x:c>
      <x:c r="D77" s="78" t="n">
        <x:f>IF('Assumptions'!$D$7&lt;&gt;"Ready","Not supplied",D76+0)</x:f>
        <x:v>-2700</x:v>
      </x:c>
      <x:c r="E77" s="78" t="n">
        <x:f>IF('Assumptions'!$D$7&lt;&gt;"Ready","Not supplied",E76+D77)</x:f>
        <x:v>-2700</x:v>
      </x:c>
      <x:c r="F77" s="78" t="n">
        <x:f>IF('Assumptions'!$D$7&lt;&gt;"Ready","Not supplied",F76+E77)</x:f>
        <x:v>-6750</x:v>
      </x:c>
      <x:c r="G77" s="78" t="n">
        <x:f>IF('Assumptions'!$D$7&lt;&gt;"Ready","Not supplied",G76+F77)</x:f>
        <x:v>-8100</x:v>
      </x:c>
      <x:c r="H77" s="78" t="n">
        <x:f>IF('Assumptions'!$D$7&lt;&gt;"Ready","Not supplied",H76+G77)</x:f>
        <x:v>-9450</x:v>
      </x:c>
      <x:c r="I77" s="78" t="n">
        <x:f>IF('Assumptions'!$D$7&lt;&gt;"Ready","Not supplied",I76+H77)</x:f>
        <x:v>-10800</x:v>
      </x:c>
      <x:c r="J77" s="78" t="n">
        <x:f>IF('Assumptions'!$D$7&lt;&gt;"Ready","Not supplied",J76+I77)</x:f>
        <x:v>-12150</x:v>
      </x:c>
      <x:c r="K77" s="78" t="n">
        <x:f>IF('Assumptions'!$D$7&lt;&gt;"Ready","Not supplied",K76+J77)</x:f>
        <x:v>-13500</x:v>
      </x:c>
      <x:c r="L77" s="78" t="n">
        <x:f>IF('Assumptions'!$D$7&lt;&gt;"Ready","Not supplied",L76+K77)</x:f>
        <x:v>-14850</x:v>
      </x:c>
      <x:c r="M77" s="78" t="n">
        <x:f>IF('Assumptions'!$D$7&lt;&gt;"Ready","Not supplied",M76+L77)</x:f>
        <x:v>-16200</x:v>
      </x:c>
      <x:c r="N77" s="78" t="n">
        <x:f>IF('Assumptions'!$D$7&lt;&gt;"Ready","Not supplied",N76+M77)</x:f>
        <x:v>-17550</x:v>
      </x:c>
      <x:c r="O77" s="78" t="n">
        <x:f>IF('Assumptions'!$D$7&lt;&gt;"Ready","Not supplied",O76+N77)</x:f>
        <x:v>-18900</x:v>
      </x:c>
      <x:c r="P77" s="78" t="n">
        <x:f>IF('Assumptions'!$D$7&lt;&gt;"Ready","Not supplied",P76+O77)</x:f>
        <x:v>-20250</x:v>
      </x:c>
      <x:c r="Q77" s="78" t="n">
        <x:f>IF('Assumptions'!$D$7&lt;&gt;"Ready","Not supplied",Q76+P77)</x:f>
        <x:v>-21600</x:v>
      </x:c>
      <x:c r="R77" s="78" t="n">
        <x:f>IF('Assumptions'!$D$7&lt;&gt;"Ready","Not supplied",R76+Q77)</x:f>
        <x:v>-22950</x:v>
      </x:c>
      <x:c r="S77" s="78" t="n">
        <x:f>IF('Assumptions'!$D$7&lt;&gt;"Ready","Not supplied",S76+R77)</x:f>
        <x:v>-24300</x:v>
      </x:c>
      <x:c r="T77" s="78" t="n">
        <x:f>IF('Assumptions'!$D$7&lt;&gt;"Ready","Not supplied",T76+S77)</x:f>
        <x:v>-25650</x:v>
      </x:c>
      <x:c r="U77" s="78" t="n">
        <x:f>IF('Assumptions'!$D$7&lt;&gt;"Ready","Not supplied",U76+T77)</x:f>
        <x:v>-27000</x:v>
      </x:c>
      <x:c r="V77" s="78" t="n">
        <x:f>IF('Assumptions'!$D$7&lt;&gt;"Ready","Not supplied",V76+U77)</x:f>
        <x:v>-28350</x:v>
      </x:c>
      <x:c r="W77" s="78" t="n">
        <x:f>IF('Assumptions'!$D$7&lt;&gt;"Ready","Not supplied",W76+V77)</x:f>
        <x:v>-29700</x:v>
      </x:c>
      <x:c r="X77" s="78" t="n">
        <x:f>IF('Assumptions'!$D$7&lt;&gt;"Ready","Not supplied",X76+W77)</x:f>
        <x:v>-31050</x:v>
      </x:c>
      <x:c r="Y77" s="78" t="n">
        <x:f>IF('Assumptions'!$D$7&lt;&gt;"Ready","Not supplied",Y76+X77)</x:f>
        <x:v>-32400</x:v>
      </x:c>
      <x:c r="Z77" s="78" t="n">
        <x:f>IF('Assumptions'!$D$7&lt;&gt;"Ready","Not supplied",Z76+Y77)</x:f>
        <x:v>-33750</x:v>
      </x:c>
      <x:c r="AA77" s="78" t="n">
        <x:f>IF('Assumptions'!$D$7&lt;&gt;"Ready","Not supplied",AA76+Z77)</x:f>
        <x:v>-35100</x:v>
      </x:c>
    </x:row>
    <x:row r="78" ht="21" customHeight="1">
      <x:c r="A78" s="50"/>
      <x:c r="B78" s="50"/>
      <x:c r="C78" s="50" t="str">
        <x:v>Cumulative baseline operating contribution</x:v>
      </x:c>
      <x:c r="D78" s="66" t="n">
        <x:f>IF('Assumptions'!$D$7&lt;&gt;"Ready","Not supplied",D30+0)</x:f>
        <x:v>4906</x:v>
      </x:c>
      <x:c r="E78" s="66" t="n">
        <x:f>IF('Assumptions'!$D$7&lt;&gt;"Ready","Not supplied",E30+D78)</x:f>
        <x:v>10124.576000000003</x:v>
      </x:c>
      <x:c r="F78" s="66" t="n">
        <x:f>IF('Assumptions'!$D$7&lt;&gt;"Ready","Not supplied",F30+E78)</x:f>
        <x:v>15649.476480000001</x:v>
      </x:c>
      <x:c r="G78" s="66" t="n">
        <x:f>IF('Assumptions'!$D$7&lt;&gt;"Ready","Not supplied",G30+F78)</x:f>
        <x:v>21474.574950400005</x:v>
      </x:c>
      <x:c r="H78" s="66" t="n">
        <x:f>IF('Assumptions'!$D$7&lt;&gt;"Ready","Not supplied",H30+G78)</x:f>
        <x:v>27593.867451392005</x:v>
      </x:c>
      <x:c r="I78" s="66" t="n">
        <x:f>IF('Assumptions'!$D$7&lt;&gt;"Ready","Not supplied",I30+H78)</x:f>
        <x:v>34001.47010236417</x:v>
      </x:c>
      <x:c r="J78" s="66" t="n">
        <x:f>IF('Assumptions'!$D$7&lt;&gt;"Ready","Not supplied",J30+I78)</x:f>
        <x:v>40691.61670031689</x:v>
      </x:c>
      <x:c r="K78" s="66" t="n">
        <x:f>IF('Assumptions'!$D$7&lt;&gt;"Ready","Not supplied",K30+J78)</x:f>
        <x:v>47658.65636631055</x:v>
      </x:c>
      <x:c r="L78" s="66" t="n">
        <x:f>IF('Assumptions'!$D$7&lt;&gt;"Ready","Not supplied",L30+K78)</x:f>
        <x:v>54897.051238984335</x:v>
      </x:c>
      <x:c r="M78" s="66" t="n">
        <x:f>IF('Assumptions'!$D$7&lt;&gt;"Ready","Not supplied",M30+L78)</x:f>
        <x:v>62401.37421420465</x:v>
      </x:c>
      <x:c r="N78" s="66" t="n">
        <x:f>IF('Assumptions'!$D$7&lt;&gt;"Ready","Not supplied",N30+M78)</x:f>
        <x:v>70166.30672992056</x:v>
      </x:c>
      <x:c r="O78" s="66" t="n">
        <x:f>IF('Assumptions'!$D$7&lt;&gt;"Ready","Not supplied",O30+N78)</x:f>
        <x:v>78186.63659532214</x:v>
      </x:c>
      <x:c r="P78" s="66" t="n">
        <x:f>IF('Assumptions'!$D$7&lt;&gt;"Ready","Not supplied",P30+O78)</x:f>
        <x:v>86457.2558634157</x:v>
      </x:c>
      <x:c r="Q78" s="66" t="n">
        <x:f>IF('Assumptions'!$D$7&lt;&gt;"Ready","Not supplied",Q30+P78)</x:f>
        <x:v>94973.15874614738</x:v>
      </x:c>
      <x:c r="R78" s="66" t="n">
        <x:f>IF('Assumptions'!$D$7&lt;&gt;"Ready","Not supplied",R30+Q78)</x:f>
        <x:v>103729.43957122443</x:v>
      </x:c>
      <x:c r="S78" s="66" t="n">
        <x:f>IF('Assumptions'!$D$7&lt;&gt;"Ready","Not supplied",S30+R78)</x:f>
        <x:v>112721.29077979995</x:v>
      </x:c>
      <x:c r="T78" s="66" t="n">
        <x:f>IF('Assumptions'!$D$7&lt;&gt;"Ready","Not supplied",T30+S78)</x:f>
        <x:v>121944.00096420395</x:v>
      </x:c>
      <x:c r="U78" s="66" t="n">
        <x:f>IF('Assumptions'!$D$7&lt;&gt;"Ready","Not supplied",U30+T78)</x:f>
        <x:v>131392.95294491987</x:v>
      </x:c>
      <x:c r="V78" s="66" t="n">
        <x:f>IF('Assumptions'!$D$7&lt;&gt;"Ready","Not supplied",V30+U78)</x:f>
        <x:v>141063.6218860215</x:v>
      </x:c>
      <x:c r="W78" s="66" t="n">
        <x:f>IF('Assumptions'!$D$7&lt;&gt;"Ready","Not supplied",W30+V78)</x:f>
        <x:v>150951.57344830106</x:v>
      </x:c>
      <x:c r="X78" s="66" t="n">
        <x:f>IF('Assumptions'!$D$7&lt;&gt;"Ready","Not supplied",X30+W78)</x:f>
        <x:v>161052.46197933503</x:v>
      </x:c>
      <x:c r="Y78" s="66" t="n">
        <x:f>IF('Assumptions'!$D$7&lt;&gt;"Ready","Not supplied",Y30+X78)</x:f>
        <x:v>171362.02873974832</x:v>
      </x:c>
      <x:c r="Z78" s="66" t="n">
        <x:f>IF('Assumptions'!$D$7&lt;&gt;"Ready","Not supplied",Z30+Y78)</x:f>
        <x:v>181876.10016495336</x:v>
      </x:c>
      <x:c r="AA78" s="66" t="n">
        <x:f>IF('Assumptions'!$D$7&lt;&gt;"Ready","Not supplied",AA30+Z78)</x:f>
        <x:v>192590.5861616543</x:v>
      </x:c>
    </x:row>
    <x:row r="79" ht="21" customHeight="1">
      <x:c r="A79" s="50"/>
      <x:c r="B79" s="50"/>
      <x:c r="C79" s="50" t="str">
        <x:v>Cumulative intervention contribution after setup</x:v>
      </x:c>
      <x:c r="D79" s="66" t="n">
        <x:f>IF('Assumptions'!$D$7&lt;&gt;"Ready","Not supplied",D61-D67+0)</x:f>
        <x:v>2206</x:v>
      </x:c>
      <x:c r="E79" s="66" t="n">
        <x:f>IF('Assumptions'!$D$7&lt;&gt;"Ready","Not supplied",E61-E67+D79)</x:f>
        <x:v>7424.576000000003</x:v>
      </x:c>
      <x:c r="F79" s="66" t="n">
        <x:f>IF('Assumptions'!$D$7&lt;&gt;"Ready","Not supplied",F61-F67+E79)</x:f>
        <x:v>9154.220223467526</x:v>
      </x:c>
      <x:c r="G79" s="66" t="n">
        <x:f>IF('Assumptions'!$D$7&lt;&gt;"Ready","Not supplied",G61-G67+F79)</x:f>
        <x:v>14157.824244066704</x:v>
      </x:c>
      <x:c r="H79" s="66" t="n">
        <x:f>IF('Assumptions'!$D$7&lt;&gt;"Ready","Not supplied",H61-H67+G79)</x:f>
        <x:v>19748.407149767456</x:v>
      </x:c>
      <x:c r="I79" s="66" t="n">
        <x:f>IF('Assumptions'!$D$7&lt;&gt;"Ready","Not supplied",I61-I67+H79)</x:f>
        <x:v>25939.118111024804</x:v>
      </x:c>
      <x:c r="J79" s="66" t="n">
        <x:f>IF('Assumptions'!$D$7&lt;&gt;"Ready","Not supplied",J61-J67+I79)</x:f>
        <x:v>32457.318495052932</x:v>
      </x:c>
      <x:c r="K79" s="66" t="n">
        <x:f>IF('Assumptions'!$D$7&lt;&gt;"Ready","Not supplied",K61-K67+J79)</x:f>
        <x:v>39296.45851339643</x:v>
      </x:c>
      <x:c r="L79" s="66" t="n">
        <x:f>IF('Assumptions'!$D$7&lt;&gt;"Ready","Not supplied",L61-L67+K79)</x:f>
        <x:v>46450.11937336899</x:v>
      </x:c>
      <x:c r="M79" s="66" t="n">
        <x:f>IF('Assumptions'!$D$7&lt;&gt;"Ready","Not supplied",M61-M67+L79)</x:f>
        <x:v>53912.010658138024</x:v>
      </x:c>
      <x:c r="N79" s="66" t="n">
        <x:f>IF('Assumptions'!$D$7&lt;&gt;"Ready","Not supplied",N61-N67+M79)</x:f>
        <x:v>61675.96775920762</x:v>
      </x:c>
      <x:c r="O79" s="66" t="n">
        <x:f>IF('Assumptions'!$D$7&lt;&gt;"Ready","Not supplied",O61-O67+N79)</x:f>
        <x:v>69735.94936025175</x:v>
      </x:c>
      <x:c r="P79" s="66" t="n">
        <x:f>IF('Assumptions'!$D$7&lt;&gt;"Ready","Not supplied",P61-P67+O79)</x:f>
        <x:v>78086.03497127093</x:v>
      </x:c>
      <x:c r="Q79" s="66" t="n">
        <x:f>IF('Assumptions'!$D$7&lt;&gt;"Ready","Not supplied",Q61-Q67+P79)</x:f>
        <x:v>86720.42251206565</x:v>
      </x:c>
      <x:c r="R79" s="66" t="n">
        <x:f>IF('Assumptions'!$D$7&lt;&gt;"Ready","Not supplied",R61-R67+Q79)</x:f>
        <x:v>95633.42594404041</x:v>
      </x:c>
      <x:c r="S79" s="66" t="n">
        <x:f>IF('Assumptions'!$D$7&lt;&gt;"Ready","Not supplied",S61-S67+R79)</x:f>
        <x:v>104819.4729493716</x:v>
      </x:c>
      <x:c r="T79" s="66" t="n">
        <x:f>IF('Assumptions'!$D$7&lt;&gt;"Ready","Not supplied",T61-T67+S79)</x:f>
        <x:v>114273.1026565921</x:v>
      </x:c>
      <x:c r="U79" s="66" t="n">
        <x:f>IF('Assumptions'!$D$7&lt;&gt;"Ready","Not supplied",U61-U67+T79)</x:f>
        <x:v>123988.96341166412</x:v>
      </x:c>
      <x:c r="V79" s="66" t="n">
        <x:f>IF('Assumptions'!$D$7&lt;&gt;"Ready","Not supplied",V61-V67+U79)</x:f>
        <x:v>133961.81059363062</x:v>
      </x:c>
      <x:c r="W79" s="66" t="n">
        <x:f>IF('Assumptions'!$D$7&lt;&gt;"Ready","Not supplied",W61-W67+V79)</x:f>
        <x:v>144186.50447395374</x:v>
      </x:c>
      <x:c r="X79" s="66" t="n">
        <x:f>IF('Assumptions'!$D$7&lt;&gt;"Ready","Not supplied",X61-X67+W79)</x:f>
        <x:v>154658.00811866633</x:v>
      </x:c>
      <x:c r="Y79" s="66" t="n">
        <x:f>IF('Assumptions'!$D$7&lt;&gt;"Ready","Not supplied",Y61-Y67+X79)</x:f>
        <x:v>165371.3853324806</x:v>
      </x:c>
      <x:c r="Z79" s="66" t="n">
        <x:f>IF('Assumptions'!$D$7&lt;&gt;"Ready","Not supplied",Z61-Z67+Y79)</x:f>
        <x:v>176321.79864401452</x:v>
      </x:c>
      <x:c r="AA79" s="66" t="n">
        <x:f>IF('Assumptions'!$D$7&lt;&gt;"Ready","Not supplied",AA61-AA67+Z79)</x:f>
        <x:v>187504.50733131368</x:v>
      </x:c>
    </x:row>
    <x:row r="80" ht="21" customHeight="1">
      <x:c r="A80" s="50"/>
      <x:c r="B80" s="50"/>
      <x:c r="C80" s="50" t="str">
        <x:v>First-year / second-year not tax forecasts</x:v>
      </x:c>
      <x:c r="D80" s="50"/>
      <x:c r="E80" s="50"/>
      <x:c r="F80" s="50"/>
      <x:c r="G80" s="50"/>
      <x:c r="H80" s="50"/>
      <x:c r="I80" s="50"/>
      <x:c r="J80" s="50"/>
      <x:c r="K80" s="50"/>
      <x:c r="L80" s="50"/>
      <x:c r="M80" s="50"/>
      <x:c r="N80" s="50"/>
      <x:c r="O80" s="50"/>
      <x:c r="P80" s="50"/>
      <x:c r="Q80" s="50"/>
      <x:c r="R80" s="50"/>
      <x:c r="S80" s="50"/>
      <x:c r="T80" s="50"/>
      <x:c r="U80" s="50"/>
      <x:c r="V80" s="50"/>
      <x:c r="W80" s="50"/>
      <x:c r="X80" s="50"/>
      <x:c r="Y80" s="50"/>
      <x:c r="Z80" s="50"/>
      <x:c r="AA80" s="50"/>
    </x:row>
    <x:row r="81" ht="21" customHeight="1">
      <x:c r="A81" s="50"/>
      <x:c r="B81" s="50"/>
      <x:c r="C81" s="50"/>
      <x:c r="D81" s="50"/>
      <x:c r="E81" s="50"/>
      <x:c r="F81" s="50"/>
      <x:c r="G81" s="50"/>
      <x:c r="H81" s="50"/>
      <x:c r="I81" s="50"/>
      <x:c r="J81" s="50"/>
      <x:c r="K81" s="50"/>
      <x:c r="L81" s="50"/>
      <x:c r="M81" s="50"/>
      <x:c r="N81" s="50"/>
      <x:c r="O81" s="50"/>
      <x:c r="P81" s="50"/>
      <x:c r="Q81" s="50"/>
      <x:c r="R81" s="50"/>
      <x:c r="S81" s="50"/>
      <x:c r="T81" s="50"/>
      <x:c r="U81" s="50"/>
      <x:c r="V81" s="50"/>
      <x:c r="W81" s="50"/>
      <x:c r="X81" s="50"/>
      <x:c r="Y81" s="50"/>
      <x:c r="Z81" s="50"/>
      <x:c r="AA81" s="50"/>
    </x:row>
    <x:row r="82" ht="21" customHeight="1">
      <x:c r="A82" s="50"/>
      <x:c r="B82" s="50"/>
      <x:c r="C82" s="50"/>
      <x:c r="D82" s="50"/>
      <x:c r="E82" s="50"/>
      <x:c r="F82" s="50"/>
      <x:c r="G82" s="50"/>
      <x:c r="H82" s="50"/>
      <x:c r="I82" s="50"/>
      <x:c r="J82" s="50"/>
      <x:c r="K82" s="50"/>
      <x:c r="L82" s="50"/>
      <x:c r="M82" s="50"/>
      <x:c r="N82" s="50"/>
      <x:c r="O82" s="50"/>
      <x:c r="P82" s="50"/>
      <x:c r="Q82" s="50"/>
      <x:c r="R82" s="50"/>
      <x:c r="S82" s="50"/>
      <x:c r="T82" s="50"/>
      <x:c r="U82" s="50"/>
      <x:c r="V82" s="50"/>
      <x:c r="W82" s="50"/>
      <x:c r="X82" s="50"/>
      <x:c r="Y82" s="50"/>
      <x:c r="Z82" s="50"/>
      <x:c r="AA82" s="50"/>
    </x:row>
    <x:row r="83" ht="21" customHeight="1">
      <x:c r="A83" s="50"/>
      <x:c r="B83" s="50"/>
      <x:c r="C83" s="50"/>
      <x:c r="D83" s="50"/>
      <x:c r="E83" s="50"/>
      <x:c r="F83" s="50"/>
      <x:c r="G83" s="50"/>
      <x:c r="H83" s="50"/>
      <x:c r="I83" s="50"/>
      <x:c r="J83" s="50"/>
      <x:c r="K83" s="50"/>
      <x:c r="L83" s="50"/>
      <x:c r="M83" s="50"/>
      <x:c r="N83" s="50"/>
      <x:c r="O83" s="50"/>
      <x:c r="P83" s="50"/>
      <x:c r="Q83" s="50"/>
      <x:c r="R83" s="50"/>
      <x:c r="S83" s="50"/>
      <x:c r="T83" s="50"/>
      <x:c r="U83" s="50"/>
      <x:c r="V83" s="50"/>
      <x:c r="W83" s="50"/>
      <x:c r="X83" s="50"/>
      <x:c r="Y83" s="50"/>
      <x:c r="Z83" s="50"/>
      <x:c r="AA83" s="50"/>
    </x:row>
    <x:row r="84" ht="21" customHeight="1">
      <x:c r="A84" s="50"/>
      <x:c r="B84" s="50"/>
      <x:c r="C84" s="50"/>
      <x:c r="D84" s="50"/>
      <x:c r="E84" s="50"/>
      <x:c r="F84" s="50"/>
      <x:c r="G84" s="50"/>
      <x:c r="H84" s="50"/>
      <x:c r="I84" s="50"/>
      <x:c r="J84" s="50"/>
      <x:c r="K84" s="50"/>
      <x:c r="L84" s="50"/>
      <x:c r="M84" s="50"/>
      <x:c r="N84" s="50"/>
      <x:c r="O84" s="50"/>
      <x:c r="P84" s="50"/>
      <x:c r="Q84" s="50"/>
      <x:c r="R84" s="50"/>
      <x:c r="S84" s="50"/>
      <x:c r="T84" s="50"/>
      <x:c r="U84" s="50"/>
      <x:c r="V84" s="50"/>
      <x:c r="W84" s="50"/>
      <x:c r="X84" s="50"/>
      <x:c r="Y84" s="50"/>
      <x:c r="Z84" s="50"/>
      <x:c r="AA84" s="50"/>
    </x:row>
    <x:row r="85" ht="21" customHeight="1">
      <x:c r="A85" s="50"/>
      <x:c r="B85" s="50"/>
      <x:c r="C85" s="50"/>
      <x:c r="D85" s="50"/>
      <x:c r="E85" s="50"/>
      <x:c r="F85" s="50"/>
      <x:c r="G85" s="50"/>
      <x:c r="H85" s="50"/>
      <x:c r="I85" s="50"/>
      <x:c r="J85" s="50"/>
      <x:c r="K85" s="50"/>
      <x:c r="L85" s="50"/>
      <x:c r="M85" s="50"/>
      <x:c r="N85" s="50"/>
      <x:c r="O85" s="50"/>
      <x:c r="P85" s="50"/>
      <x:c r="Q85" s="50"/>
      <x:c r="R85" s="50"/>
      <x:c r="S85" s="50"/>
      <x:c r="T85" s="50"/>
      <x:c r="U85" s="50"/>
      <x:c r="V85" s="50"/>
      <x:c r="W85" s="50"/>
      <x:c r="X85" s="50"/>
      <x:c r="Y85" s="50"/>
      <x:c r="Z85" s="50"/>
      <x:c r="AA85" s="50"/>
    </x:row>
    <x:row r="86" ht="21" customHeight="1">
      <x:c r="A86" s="50"/>
      <x:c r="B86" s="50"/>
      <x:c r="C86" s="50"/>
      <x:c r="D86" s="50"/>
      <x:c r="E86" s="50"/>
      <x:c r="F86" s="50"/>
      <x:c r="G86" s="50"/>
      <x:c r="H86" s="50"/>
      <x:c r="I86" s="50"/>
      <x:c r="J86" s="50"/>
      <x:c r="K86" s="50"/>
      <x:c r="L86" s="50"/>
      <x:c r="M86" s="50"/>
      <x:c r="N86" s="50"/>
      <x:c r="O86" s="50"/>
      <x:c r="P86" s="50"/>
      <x:c r="Q86" s="50"/>
      <x:c r="R86" s="50"/>
      <x:c r="S86" s="50"/>
      <x:c r="T86" s="50"/>
      <x:c r="U86" s="50"/>
      <x:c r="V86" s="50"/>
      <x:c r="W86" s="50"/>
      <x:c r="X86" s="50"/>
      <x:c r="Y86" s="50"/>
      <x:c r="Z86" s="50"/>
      <x:c r="AA86" s="5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D8C9A9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6" hidden="0" customWidth="1"/>
    <x:col min="4" max="4" width="15" hidden="0" customWidth="1"/>
    <x:col min="5" max="5" width="88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</x:cols>
  <x:sheetData>
    <x:row r="1" ht="21" customHeight="1">
      <x:c r="A1" s="50"/>
      <x:c r="B1" s="50"/>
      <x:c r="C1" s="50"/>
      <x:c r="D1" s="50"/>
      <x:c r="E1" s="50"/>
      <x:c r="F1" s="50"/>
      <x:c r="G1" s="50"/>
      <x:c r="H1" s="50"/>
      <x:c r="I1" s="83"/>
      <x:c r="J1" s="83"/>
      <x:c r="K1" s="83"/>
      <x:c r="L1" s="83"/>
    </x:row>
    <x:row r="2" ht="21" customHeight="1">
      <x:c r="A2" s="50"/>
      <x:c r="B2" s="50"/>
      <x:c r="C2" s="51" t="str">
        <x:v>Client actual inputs | blank until validated</x:v>
      </x:c>
      <x:c r="D2" s="50"/>
      <x:c r="E2" s="50"/>
      <x:c r="F2" s="50"/>
      <x:c r="G2" s="50"/>
      <x:c r="H2" s="50"/>
      <x:c r="I2" s="83"/>
      <x:c r="J2" s="83"/>
      <x:c r="K2" s="83"/>
      <x:c r="L2" s="83"/>
    </x:row>
    <x:row r="3" ht="21" customHeight="1">
      <x:c r="A3" s="50"/>
      <x:c r="B3" s="50"/>
      <x:c r="C3" s="52"/>
      <x:c r="D3" s="52"/>
      <x:c r="E3" s="52"/>
      <x:c r="F3" s="52"/>
      <x:c r="G3" s="52"/>
      <x:c r="H3" s="52"/>
      <x:c r="I3" s="84"/>
      <x:c r="J3" s="84"/>
      <x:c r="K3" s="84"/>
      <x:c r="L3" s="84"/>
    </x:row>
    <x:row r="4" ht="21" customHeight="1">
      <x:c r="A4" s="50"/>
      <x:c r="B4" s="50"/>
      <x:c r="C4" s="50" t="str">
        <x:v>Blank means unknown; observed zero is a valid numeric input.</x:v>
      </x:c>
      <x:c r="D4" s="50"/>
      <x:c r="E4" s="50"/>
      <x:c r="F4" s="50"/>
      <x:c r="G4" s="50"/>
      <x:c r="H4" s="50"/>
      <x:c r="I4" s="83"/>
      <x:c r="J4" s="83"/>
      <x:c r="K4" s="83"/>
      <x:c r="L4" s="83"/>
    </x:row>
    <x:row r="5" ht="21" customHeight="1">
      <x:c r="A5" s="50"/>
      <x:c r="B5" s="50"/>
      <x:c r="C5" s="50" t="str">
        <x:v>Case selected:</x:v>
      </x:c>
      <x:c r="D5" s="53" t="str">
        <x:f>'Assumptions'!D10</x:f>
        <x:v>Base</x:v>
      </x:c>
      <x:c r="E5" s="50"/>
      <x:c r="F5" s="50"/>
      <x:c r="G5" s="50"/>
      <x:c r="H5" s="50"/>
      <x:c r="I5" s="83"/>
      <x:c r="J5" s="83"/>
      <x:c r="K5" s="83"/>
      <x:c r="L5" s="83"/>
    </x:row>
    <x:row r="6" ht="21" customHeight="1">
      <x:c r="A6" s="50"/>
      <x:c r="B6" s="50"/>
      <x:c r="C6" s="54" t="str">
        <x:v>Baseline driver</x:v>
      </x:c>
      <x:c r="D6" s="54" t="str">
        <x:v>Client value</x:v>
      </x:c>
      <x:c r="E6" s="54" t="str">
        <x:v>Source / period / owner</x:v>
      </x:c>
      <x:c r="F6" s="50"/>
      <x:c r="G6" s="50"/>
      <x:c r="H6" s="50"/>
      <x:c r="I6" s="83"/>
      <x:c r="J6" s="83"/>
      <x:c r="K6" s="83"/>
      <x:c r="L6" s="83"/>
    </x:row>
    <x:row r="7" ht="21" customHeight="1">
      <x:c r="A7" s="50"/>
      <x:c r="B7" s="50"/>
      <x:c r="C7" s="50" t="str">
        <x:v>Eligible non-customer sessions / month</x:v>
      </x:c>
      <x:c r="D7" s="60"/>
      <x:c r="E7" s="50" t="str">
        <x:v>Not supplied — client finance / analytics owner to validate</x:v>
      </x:c>
      <x:c r="F7" s="50"/>
      <x:c r="G7" s="50"/>
      <x:c r="H7" s="50"/>
      <x:c r="I7" s="83"/>
      <x:c r="J7" s="83"/>
      <x:c r="K7" s="83"/>
      <x:c r="L7" s="83"/>
    </x:row>
    <x:row r="8" ht="21" customHeight="1">
      <x:c r="A8" s="50"/>
      <x:c r="B8" s="50"/>
      <x:c r="C8" s="50" t="str">
        <x:v>Monthly session growth</x:v>
      </x:c>
      <x:c r="D8" s="68"/>
      <x:c r="E8" s="50" t="str">
        <x:v>Not supplied — client finance / analytics owner to validate</x:v>
      </x:c>
      <x:c r="F8" s="50"/>
      <x:c r="G8" s="50"/>
      <x:c r="H8" s="50"/>
      <x:c r="I8" s="83"/>
      <x:c r="J8" s="83"/>
      <x:c r="K8" s="83"/>
      <x:c r="L8" s="83"/>
    </x:row>
    <x:row r="9" ht="21" customHeight="1">
      <x:c r="A9" s="50"/>
      <x:c r="B9" s="50"/>
      <x:c r="C9" s="50" t="str">
        <x:v>New-buyer conversion</x:v>
      </x:c>
      <x:c r="D9" s="68"/>
      <x:c r="E9" s="50" t="str">
        <x:v>Not supplied — client finance / analytics owner to validate</x:v>
      </x:c>
      <x:c r="F9" s="50"/>
      <x:c r="G9" s="50"/>
      <x:c r="H9" s="50"/>
      <x:c r="I9" s="83"/>
      <x:c r="J9" s="83"/>
      <x:c r="K9" s="83"/>
      <x:c r="L9" s="83"/>
    </x:row>
    <x:row r="10" ht="21" customHeight="1">
      <x:c r="A10" s="50"/>
      <x:c r="B10" s="50"/>
      <x:c r="C10" s="50" t="str">
        <x:v>Opening active prior-buyer pool</x:v>
      </x:c>
      <x:c r="D10" s="60"/>
      <x:c r="E10" s="50" t="str">
        <x:v>Not supplied — client finance / analytics owner to validate</x:v>
      </x:c>
      <x:c r="F10" s="50"/>
      <x:c r="G10" s="50"/>
      <x:c r="H10" s="50"/>
      <x:c r="I10" s="83"/>
      <x:c r="J10" s="83"/>
      <x:c r="K10" s="83"/>
      <x:c r="L10" s="83"/>
    </x:row>
    <x:row r="11" ht="21" customHeight="1">
      <x:c r="A11" s="50"/>
      <x:c r="B11" s="50"/>
      <x:c r="C11" s="50" t="str">
        <x:v>Monthly repeat orders / active buyer</x:v>
      </x:c>
      <x:c r="D11" s="68"/>
      <x:c r="E11" s="50" t="str">
        <x:v>Not supplied — client finance / analytics owner to validate</x:v>
      </x:c>
      <x:c r="F11" s="50"/>
      <x:c r="G11" s="50"/>
      <x:c r="H11" s="50"/>
      <x:c r="I11" s="83"/>
      <x:c r="J11" s="83"/>
      <x:c r="K11" s="83"/>
      <x:c r="L11" s="83"/>
    </x:row>
    <x:row r="12" ht="21" customHeight="1">
      <x:c r="A12" s="50"/>
      <x:c r="B12" s="50"/>
      <x:c r="C12" s="50" t="str">
        <x:v>Monthly active-pool attrition</x:v>
      </x:c>
      <x:c r="D12" s="68"/>
      <x:c r="E12" s="50" t="str">
        <x:v>Not supplied — client finance / analytics owner to validate</x:v>
      </x:c>
      <x:c r="F12" s="50"/>
      <x:c r="G12" s="50"/>
      <x:c r="H12" s="50"/>
      <x:c r="I12" s="83"/>
      <x:c r="J12" s="83"/>
      <x:c r="K12" s="83"/>
      <x:c r="L12" s="83"/>
    </x:row>
    <x:row r="13" ht="21" customHeight="1">
      <x:c r="A13" s="50"/>
      <x:c r="B13" s="50"/>
      <x:c r="C13" s="50" t="str">
        <x:v>D2C basket after discounts, before refunds</x:v>
      </x:c>
      <x:c r="D13" s="70"/>
      <x:c r="E13" s="50" t="str">
        <x:v>Not supplied — client finance / analytics owner to validate</x:v>
      </x:c>
      <x:c r="F13" s="50"/>
      <x:c r="G13" s="50"/>
      <x:c r="H13" s="50"/>
      <x:c r="I13" s="83"/>
      <x:c r="J13" s="83"/>
      <x:c r="K13" s="83"/>
      <x:c r="L13" s="83"/>
    </x:row>
    <x:row r="14" ht="21" customHeight="1">
      <x:c r="A14" s="50"/>
      <x:c r="B14" s="50"/>
      <x:c r="C14" s="50" t="str">
        <x:v>Merchandise refund fraction</x:v>
      </x:c>
      <x:c r="D14" s="68"/>
      <x:c r="E14" s="50" t="str">
        <x:v>Not supplied — client finance / analytics owner to validate</x:v>
      </x:c>
      <x:c r="F14" s="50"/>
      <x:c r="G14" s="50"/>
      <x:c r="H14" s="50"/>
      <x:c r="I14" s="83"/>
      <x:c r="J14" s="83"/>
      <x:c r="K14" s="83"/>
      <x:c r="L14" s="83"/>
    </x:row>
    <x:row r="15" ht="21" customHeight="1">
      <x:c r="A15" s="50"/>
      <x:c r="B15" s="50"/>
      <x:c r="C15" s="50" t="str">
        <x:v>Product cost / gross merchandise</x:v>
      </x:c>
      <x:c r="D15" s="68"/>
      <x:c r="E15" s="50" t="str">
        <x:v>Not supplied — client finance / analytics owner to validate</x:v>
      </x:c>
      <x:c r="F15" s="50"/>
      <x:c r="G15" s="50"/>
      <x:c r="H15" s="50"/>
      <x:c r="I15" s="83"/>
      <x:c r="J15" s="83"/>
      <x:c r="K15" s="83"/>
      <x:c r="L15" s="83"/>
    </x:row>
    <x:row r="16" ht="21" customHeight="1">
      <x:c r="A16" s="50"/>
      <x:c r="B16" s="50"/>
      <x:c r="C16" s="50" t="str">
        <x:v>Fulfilment / order</x:v>
      </x:c>
      <x:c r="D16" s="70"/>
      <x:c r="E16" s="50" t="str">
        <x:v>Not supplied — client finance / analytics owner to validate</x:v>
      </x:c>
      <x:c r="F16" s="50"/>
      <x:c r="G16" s="50"/>
      <x:c r="H16" s="50"/>
      <x:c r="I16" s="83"/>
      <x:c r="J16" s="83"/>
      <x:c r="K16" s="83"/>
      <x:c r="L16" s="83"/>
    </x:row>
    <x:row r="17" ht="21" customHeight="1">
      <x:c r="A17" s="50"/>
      <x:c r="B17" s="50"/>
      <x:c r="C17" s="50" t="str">
        <x:v>Payment + commission / gross merchandise</x:v>
      </x:c>
      <x:c r="D17" s="68"/>
      <x:c r="E17" s="50" t="str">
        <x:v>Not supplied — client finance / analytics owner to validate</x:v>
      </x:c>
      <x:c r="F17" s="50"/>
      <x:c r="G17" s="50"/>
      <x:c r="H17" s="50"/>
      <x:c r="I17" s="83"/>
      <x:c r="J17" s="83"/>
      <x:c r="K17" s="83"/>
      <x:c r="L17" s="83"/>
    </x:row>
    <x:row r="18" ht="21" customHeight="1">
      <x:c r="A18" s="50"/>
      <x:c r="B18" s="50"/>
      <x:c r="C18" s="50" t="str">
        <x:v>Variable service / order</x:v>
      </x:c>
      <x:c r="D18" s="70"/>
      <x:c r="E18" s="50" t="str">
        <x:v>Not supplied — client finance / analytics owner to validate</x:v>
      </x:c>
      <x:c r="F18" s="50"/>
      <x:c r="G18" s="50"/>
      <x:c r="H18" s="50"/>
      <x:c r="I18" s="83"/>
      <x:c r="J18" s="83"/>
      <x:c r="K18" s="83"/>
      <x:c r="L18" s="83"/>
    </x:row>
    <x:row r="19" ht="21" customHeight="1">
      <x:c r="A19" s="50"/>
      <x:c r="B19" s="50"/>
      <x:c r="C19" s="50" t="str">
        <x:v>Baseline monthly acquisition spend</x:v>
      </x:c>
      <x:c r="D19" s="70"/>
      <x:c r="E19" s="50" t="str">
        <x:v>Not supplied — client finance / analytics owner to validate</x:v>
      </x:c>
      <x:c r="F19" s="50"/>
      <x:c r="G19" s="50"/>
      <x:c r="H19" s="50"/>
      <x:c r="I19" s="83"/>
      <x:c r="J19" s="83"/>
      <x:c r="K19" s="83"/>
      <x:c r="L19" s="83"/>
    </x:row>
    <x:row r="20" ht="21" customHeight="1">
      <x:c r="A20" s="50"/>
      <x:c r="B20" s="50"/>
      <x:c r="C20" s="50" t="str">
        <x:v>Baseline fixed monthly operating costs</x:v>
      </x:c>
      <x:c r="D20" s="70"/>
      <x:c r="E20" s="50" t="str">
        <x:v>Not supplied — client finance / analytics owner to validate</x:v>
      </x:c>
      <x:c r="F20" s="50"/>
      <x:c r="G20" s="50"/>
      <x:c r="H20" s="50"/>
      <x:c r="I20" s="83"/>
      <x:c r="J20" s="83"/>
      <x:c r="K20" s="83"/>
      <x:c r="L20" s="83"/>
    </x:row>
    <x:row r="21" ht="21" customHeight="1">
      <x:c r="A21" s="50"/>
      <x:c r="B21" s="50"/>
      <x:c r="C21" s="50" t="str">
        <x:v>Baseline B2B monthly net sales</x:v>
      </x:c>
      <x:c r="D21" s="70"/>
      <x:c r="E21" s="50" t="str">
        <x:v>Not supplied — client finance / analytics owner to validate</x:v>
      </x:c>
      <x:c r="F21" s="50"/>
      <x:c r="G21" s="50"/>
      <x:c r="H21" s="50"/>
      <x:c r="I21" s="83"/>
      <x:c r="J21" s="83"/>
      <x:c r="K21" s="83"/>
      <x:c r="L21" s="83"/>
    </x:row>
    <x:row r="22" ht="21" customHeight="1">
      <x:c r="A22" s="50"/>
      <x:c r="B22" s="50"/>
      <x:c r="C22" s="50" t="str">
        <x:v>B2B contribution margin</x:v>
      </x:c>
      <x:c r="D22" s="68"/>
      <x:c r="E22" s="50" t="str">
        <x:v>Not supplied — client finance / analytics owner to validate</x:v>
      </x:c>
      <x:c r="F22" s="50"/>
      <x:c r="G22" s="50"/>
      <x:c r="H22" s="50"/>
      <x:c r="I22" s="83"/>
      <x:c r="J22" s="83"/>
      <x:c r="K22" s="83"/>
      <x:c r="L22" s="83"/>
    </x:row>
    <x:row r="23" ht="21" customHeight="1">
      <x:c r="A23" s="50"/>
      <x:c r="B23" s="50"/>
      <x:c r="C23" s="50" t="str">
        <x:v>B2B collection delay, whole months</x:v>
      </x:c>
      <x:c r="D23" s="60"/>
      <x:c r="E23" s="50" t="str">
        <x:v>Not supplied — client finance / analytics owner to validate</x:v>
      </x:c>
      <x:c r="F23" s="50"/>
      <x:c r="G23" s="50"/>
      <x:c r="H23" s="50"/>
      <x:c r="I23" s="83"/>
      <x:c r="J23" s="83"/>
      <x:c r="K23" s="83"/>
      <x:c r="L23" s="83"/>
    </x:row>
    <x:row r="24" ht="21" customHeight="1">
      <x:c r="A24" s="50"/>
      <x:c r="B24" s="50"/>
      <x:c r="C24" s="50" t="str">
        <x:v>Cost funding buffer, months</x:v>
      </x:c>
      <x:c r="D24" s="72"/>
      <x:c r="E24" s="50" t="str">
        <x:v>Not supplied — client finance / analytics owner to validate</x:v>
      </x:c>
      <x:c r="F24" s="50"/>
      <x:c r="G24" s="50"/>
      <x:c r="H24" s="50"/>
      <x:c r="I24" s="83"/>
      <x:c r="J24" s="83"/>
      <x:c r="K24" s="83"/>
      <x:c r="L24" s="83"/>
    </x:row>
    <x:row r="25" ht="21" customHeight="1">
      <x:c r="A25" s="50"/>
      <x:c r="B25" s="50"/>
      <x:c r="C25" s="50" t="str">
        <x:v>Annual discount rate</x:v>
      </x:c>
      <x:c r="D25" s="68"/>
      <x:c r="E25" s="50" t="str">
        <x:v>Not supplied — client finance / analytics owner to validate</x:v>
      </x:c>
      <x:c r="F25" s="50"/>
      <x:c r="G25" s="50"/>
      <x:c r="H25" s="50"/>
      <x:c r="I25" s="83"/>
      <x:c r="J25" s="83"/>
      <x:c r="K25" s="83"/>
      <x:c r="L25" s="83"/>
    </x:row>
    <x:row r="26" ht="21" customHeight="1">
      <x:c r="A26" s="50"/>
      <x:c r="B26" s="50"/>
      <x:c r="C26" s="50"/>
      <x:c r="D26" s="50"/>
      <x:c r="E26" s="50"/>
      <x:c r="F26" s="50"/>
      <x:c r="G26" s="50"/>
      <x:c r="H26" s="50"/>
      <x:c r="I26" s="83"/>
      <x:c r="J26" s="83"/>
      <x:c r="K26" s="83"/>
      <x:c r="L26" s="83"/>
    </x:row>
    <x:row r="27" ht="21" customHeight="1">
      <x:c r="A27" s="50"/>
      <x:c r="B27" s="50"/>
      <x:c r="C27" s="50"/>
      <x:c r="D27" s="50"/>
      <x:c r="E27" s="50"/>
      <x:c r="F27" s="50"/>
      <x:c r="G27" s="50"/>
      <x:c r="H27" s="50"/>
      <x:c r="I27" s="83"/>
      <x:c r="J27" s="83"/>
      <x:c r="K27" s="83"/>
      <x:c r="L27" s="83"/>
    </x:row>
    <x:row r="28" ht="21" customHeight="1">
      <x:c r="A28" s="50"/>
      <x:c r="B28" s="50"/>
      <x:c r="C28" s="50" t="str">
        <x:v>Source context: supplied brief PDF pp. 3–4, 7, 9–10; unaudited classroom synthesis.</x:v>
      </x:c>
      <x:c r="D28" s="50"/>
      <x:c r="E28" s="50"/>
      <x:c r="F28" s="50"/>
      <x:c r="G28" s="50"/>
      <x:c r="H28" s="50"/>
      <x:c r="I28" s="83"/>
      <x:c r="J28" s="83"/>
      <x:c r="K28" s="83"/>
      <x:c r="L28" s="83"/>
    </x:row>
    <x:row r="29" ht="21" customHeight="1">
      <x:c r="A29" s="50"/>
      <x:c r="B29" s="50"/>
      <x:c r="C29" s="50" t="str">
        <x:v>£87 AOV / 61% D2C are unverified references only; neither drives this model.</x:v>
      </x:c>
      <x:c r="D29" s="50"/>
      <x:c r="E29" s="50"/>
      <x:c r="F29" s="50"/>
      <x:c r="G29" s="50"/>
      <x:c r="H29" s="50"/>
      <x:c r="I29" s="83"/>
      <x:c r="J29" s="83"/>
      <x:c r="K29" s="83"/>
      <x:c r="L29" s="83"/>
    </x:row>
    <x:row r="30" ht="21" customHeight="1">
      <x:c r="A30" s="50"/>
      <x:c r="B30" s="50"/>
      <x:c r="C30" s="50" t="str">
        <x:v>See docs/metrics/data-request-and-baseline.md and docs/brief/decision-assumption-ledger.md (10 Oct 2026).</x:v>
      </x:c>
      <x:c r="D30" s="50"/>
      <x:c r="E30" s="50"/>
      <x:c r="F30" s="50"/>
      <x:c r="G30" s="50"/>
      <x:c r="H30" s="50"/>
      <x:c r="I30" s="83"/>
      <x:c r="J30" s="83"/>
      <x:c r="K30" s="83"/>
      <x:c r="L30" s="83"/>
    </x:row>
    <x:row r="31" ht="21" customHeight="1">
      <x:c r="A31" s="50"/>
      <x:c r="B31" s="50"/>
      <x:c r="C31" s="50"/>
      <x:c r="D31" s="50"/>
      <x:c r="E31" s="50"/>
      <x:c r="F31" s="50"/>
      <x:c r="G31" s="50"/>
      <x:c r="H31" s="50"/>
      <x:c r="I31" s="83"/>
      <x:c r="J31" s="83"/>
      <x:c r="K31" s="83"/>
      <x:c r="L31" s="83"/>
    </x:row>
    <x:row r="32" ht="21" customHeight="1">
      <x:c r="A32" s="50"/>
      <x:c r="B32" s="50"/>
      <x:c r="C32" s="50"/>
      <x:c r="D32" s="50"/>
      <x:c r="E32" s="50"/>
      <x:c r="F32" s="50"/>
      <x:c r="G32" s="50"/>
      <x:c r="H32" s="50"/>
      <x:c r="I32" s="83"/>
      <x:c r="J32" s="83"/>
      <x:c r="K32" s="83"/>
      <x:c r="L32" s="83"/>
    </x:row>
    <x:row r="33" ht="21" customHeight="1">
      <x:c r="A33" s="50"/>
      <x:c r="B33" s="50"/>
      <x:c r="C33" s="50"/>
      <x:c r="D33" s="50"/>
      <x:c r="E33" s="50"/>
      <x:c r="F33" s="50"/>
      <x:c r="G33" s="50"/>
      <x:c r="H33" s="50"/>
      <x:c r="I33" s="83"/>
      <x:c r="J33" s="83"/>
      <x:c r="K33" s="83"/>
      <x:c r="L33" s="83"/>
    </x:row>
    <x:row r="34" ht="21" customHeight="1">
      <x:c r="A34" s="50"/>
      <x:c r="B34" s="50"/>
      <x:c r="C34" s="50"/>
      <x:c r="D34" s="50"/>
      <x:c r="E34" s="50"/>
      <x:c r="F34" s="50"/>
      <x:c r="G34" s="50"/>
      <x:c r="H34" s="50"/>
      <x:c r="I34" s="83"/>
      <x:c r="J34" s="83"/>
      <x:c r="K34" s="83"/>
      <x:c r="L34" s="83"/>
    </x:row>
    <x:row r="35" ht="21" customHeight="1">
      <x:c r="A35" s="50"/>
      <x:c r="B35" s="50"/>
      <x:c r="C35" s="50"/>
      <x:c r="D35" s="50"/>
      <x:c r="E35" s="50"/>
      <x:c r="F35" s="50"/>
      <x:c r="G35" s="50"/>
      <x:c r="H35" s="50"/>
      <x:c r="I35" s="83"/>
      <x:c r="J35" s="83"/>
      <x:c r="K35" s="83"/>
      <x:c r="L35" s="83"/>
    </x:row>
  </x:sheetData>
  <x:dataValidations count="6">
    <x:dataValidation type="decimal" operator="between" sqref="D9">
      <x:formula1>0</x:formula1>
      <x:formula2>1</x:formula2>
    </x:dataValidation>
    <x:dataValidation type="decimal" operator="between" sqref="D12">
      <x:formula1>0</x:formula1>
      <x:formula2>1</x:formula2>
    </x:dataValidation>
    <x:dataValidation type="decimal" operator="between" sqref="D14">
      <x:formula1>0</x:formula1>
      <x:formula2>1</x:formula2>
    </x:dataValidation>
    <x:dataValidation type="decimal" operator="between" sqref="D15">
      <x:formula1>0</x:formula1>
      <x:formula2>1</x:formula2>
    </x:dataValidation>
    <x:dataValidation type="decimal" operator="between" sqref="D17">
      <x:formula1>0</x:formula1>
      <x:formula2>1</x:formula2>
    </x:dataValidation>
    <x:dataValidation type="decimal" operator="between" sqref="D22">
      <x:formula1>0</x:formula1>
      <x:formula2>1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6" hidden="0" customWidth="1"/>
    <x:col min="4" max="4" width="15" hidden="0" customWidth="1"/>
    <x:col min="5" max="5" width="5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</x:cols>
  <x:sheetData>
    <x:row r="1" ht="21" customHeight="1">
      <x:c r="A1" s="50"/>
      <x:c r="B1" s="50"/>
      <x:c r="C1" s="50"/>
      <x:c r="D1" s="50"/>
      <x:c r="E1" s="50"/>
      <x:c r="F1" s="50"/>
      <x:c r="G1" s="50"/>
      <x:c r="H1" s="83"/>
      <x:c r="I1" s="83"/>
      <x:c r="J1" s="83"/>
      <x:c r="K1" s="83"/>
      <x:c r="L1" s="83"/>
    </x:row>
    <x:row r="2" ht="21" customHeight="1">
      <x:c r="A2" s="50"/>
      <x:c r="B2" s="50"/>
      <x:c r="C2" s="51" t="str">
        <x:v>Forecast review | reconciliations</x:v>
      </x:c>
      <x:c r="D2" s="50"/>
      <x:c r="E2" s="50"/>
      <x:c r="F2" s="50"/>
      <x:c r="G2" s="50"/>
      <x:c r="H2" s="83"/>
      <x:c r="I2" s="83"/>
      <x:c r="J2" s="83"/>
      <x:c r="K2" s="83"/>
      <x:c r="L2" s="83"/>
    </x:row>
    <x:row r="3" ht="21" customHeight="1">
      <x:c r="A3" s="50"/>
      <x:c r="B3" s="50"/>
      <x:c r="C3" s="52"/>
      <x:c r="D3" s="52"/>
      <x:c r="E3" s="52"/>
      <x:c r="F3" s="52"/>
      <x:c r="G3" s="52"/>
      <x:c r="H3" s="84"/>
      <x:c r="I3" s="84"/>
      <x:c r="J3" s="84"/>
      <x:c r="K3" s="84"/>
      <x:c r="L3" s="84"/>
    </x:row>
    <x:row r="4" ht="21" customHeight="1">
      <x:c r="A4" s="50"/>
      <x:c r="B4" s="50"/>
      <x:c r="C4" s="50"/>
      <x:c r="D4" s="50"/>
      <x:c r="E4" s="50"/>
      <x:c r="F4" s="50"/>
      <x:c r="G4" s="50"/>
      <x:c r="H4" s="83"/>
      <x:c r="I4" s="83"/>
      <x:c r="J4" s="83"/>
      <x:c r="K4" s="83"/>
      <x:c r="L4" s="83"/>
    </x:row>
    <x:row r="5" ht="21" customHeight="1">
      <x:c r="A5" s="50"/>
      <x:c r="B5" s="50"/>
      <x:c r="C5" s="50" t="str">
        <x:v>Case selected:</x:v>
      </x:c>
      <x:c r="D5" s="53" t="str">
        <x:f>'Assumptions'!D10</x:f>
        <x:v>Base</x:v>
      </x:c>
      <x:c r="E5" s="50"/>
      <x:c r="F5" s="50"/>
      <x:c r="G5" s="50"/>
      <x:c r="H5" s="83"/>
      <x:c r="I5" s="83"/>
      <x:c r="J5" s="83"/>
      <x:c r="K5" s="83"/>
      <x:c r="L5" s="83"/>
    </x:row>
    <x:row r="6" ht="21" customHeight="1">
      <x:c r="A6" s="50"/>
      <x:c r="B6" s="50"/>
      <x:c r="C6" s="50"/>
      <x:c r="D6" s="50"/>
      <x:c r="E6" s="50"/>
      <x:c r="F6" s="50"/>
      <x:c r="G6" s="50"/>
      <x:c r="H6" s="83"/>
      <x:c r="I6" s="83"/>
      <x:c r="J6" s="83"/>
      <x:c r="K6" s="83"/>
      <x:c r="L6" s="83"/>
    </x:row>
    <x:row r="7" ht="21" customHeight="1">
      <x:c r="A7" s="50"/>
      <x:c r="B7" s="50"/>
      <x:c r="C7" s="54" t="str">
        <x:v>Check</x:v>
      </x:c>
      <x:c r="D7" s="54" t="str">
        <x:v>Difference</x:v>
      </x:c>
      <x:c r="E7" s="54" t="str">
        <x:v>Meaning</x:v>
      </x:c>
      <x:c r="F7" s="50"/>
      <x:c r="G7" s="50"/>
      <x:c r="H7" s="83"/>
      <x:c r="I7" s="83"/>
      <x:c r="J7" s="83"/>
      <x:c r="K7" s="83"/>
      <x:c r="L7" s="83"/>
    </x:row>
    <x:row r="8" ht="21" customHeight="1">
      <x:c r="A8" s="50"/>
      <x:c r="B8" s="50"/>
      <x:c r="C8" s="50" t="str">
        <x:v>Net-sales bridge</x:v>
      </x:c>
      <x:c r="D8" s="87" t="n">
        <x:f>IF('Assumptions'!D7="Ready",SUM('Forecast'!D49:AA49)-SUM('Forecast'!D21:AA21)-SUM('Forecast'!D64:AA64),"Not supplied")</x:f>
        <x:v>-1.2369127944111824e-10</x:v>
      </x:c>
      <x:c r="E8" s="50" t="str">
        <x:v>Expected 0</x:v>
      </x:c>
      <x:c r="F8" s="50"/>
      <x:c r="G8" s="50"/>
      <x:c r="H8" s="83"/>
      <x:c r="I8" s="83"/>
      <x:c r="J8" s="83"/>
      <x:c r="K8" s="83"/>
      <x:c r="L8" s="83"/>
    </x:row>
    <x:row r="9" ht="21" customHeight="1">
      <x:c r="A9" s="50"/>
      <x:c r="B9" s="50"/>
      <x:c r="C9" s="50" t="str">
        <x:v>Contribution less spending bridge</x:v>
      </x:c>
      <x:c r="D9" s="87" t="n">
        <x:f>IF('Assumptions'!D7="Ready",SUM('Forecast'!D65:AA65)-SUM('Forecast'!D58:AA60)-SUM('Forecast'!D66:AA66),"Not supplied")</x:f>
        <x:v>0</x:v>
      </x:c>
      <x:c r="E9" s="50" t="str">
        <x:v>Expected 0</x:v>
      </x:c>
      <x:c r="F9" s="50"/>
      <x:c r="G9" s="50"/>
      <x:c r="H9" s="83"/>
      <x:c r="I9" s="83"/>
      <x:c r="J9" s="83"/>
      <x:c r="K9" s="83"/>
      <x:c r="L9" s="83"/>
    </x:row>
    <x:row r="10" ht="21" customHeight="1">
      <x:c r="A10" s="50"/>
      <x:c r="B10" s="50"/>
      <x:c r="C10" s="50" t="str">
        <x:v>Cash versus profit and funding</x:v>
      </x:c>
      <x:c r="D10" s="87" t="n">
        <x:f>IF('Assumptions'!D7="Ready",'Summary'!F12-SUM('Forecast'!D70:AA70)-'Summary'!D15,"Not supplied")</x:f>
        <x:v>2.4556356947869062e-11</x:v>
      </x:c>
      <x:c r="E10" s="50" t="str">
        <x:v>Expected 0</x:v>
      </x:c>
      <x:c r="F10" s="50"/>
      <x:c r="G10" s="50"/>
      <x:c r="H10" s="83"/>
      <x:c r="I10" s="83"/>
      <x:c r="J10" s="83"/>
      <x:c r="K10" s="83"/>
      <x:c r="L10" s="83"/>
    </x:row>
    <x:row r="11" ht="21" customHeight="1">
      <x:c r="A11" s="50"/>
      <x:c r="B11" s="50"/>
      <x:c r="C11" s="50" t="str">
        <x:v>D2C orders = first + repeat</x:v>
      </x:c>
      <x:c r="D11" s="87" t="n">
        <x:f>IF('Assumptions'!D7="Ready",SUM('Forecast'!D41:AA41)-SUM('Forecast'!D37:AA37)-SUM('Forecast'!D40:AA40),"Not supplied")</x:f>
        <x:v>4.547473508864641e-13</x:v>
      </x:c>
      <x:c r="E11" s="50" t="str">
        <x:v>Expected 0</x:v>
      </x:c>
      <x:c r="F11" s="50"/>
      <x:c r="G11" s="50"/>
      <x:c r="H11" s="83"/>
      <x:c r="I11" s="83"/>
      <x:c r="J11" s="83"/>
      <x:c r="K11" s="83"/>
      <x:c r="L11" s="83"/>
    </x:row>
    <x:row r="12" ht="21" customHeight="1">
      <x:c r="A12" s="50"/>
      <x:c r="B12" s="50"/>
      <x:c r="C12" s="50" t="str">
        <x:v>End receivables are uncollected B2B</x:v>
      </x:c>
      <x:c r="D12" s="85" t="n">
        <x:f>IF('Assumptions'!D7="Ready",'Forecast'!AA69,"Not supplied")</x:f>
        <x:v>336</x:v>
      </x:c>
      <x:c r="E12" s="50" t="str">
        <x:v>Balance retained; no terminal release</x:v>
      </x:c>
      <x:c r="F12" s="50"/>
      <x:c r="G12" s="50"/>
      <x:c r="H12" s="83"/>
      <x:c r="I12" s="83"/>
      <x:c r="J12" s="83"/>
      <x:c r="K12" s="83"/>
      <x:c r="L12" s="83"/>
    </x:row>
    <x:row r="13" ht="21" customHeight="1">
      <x:c r="A13" s="50"/>
      <x:c r="B13" s="50"/>
      <x:c r="C13" s="50" t="str">
        <x:v>End cost funding reserve</x:v>
      </x:c>
      <x:c r="D13" s="85" t="n">
        <x:f>IF('Assumptions'!D7="Ready",'Forecast'!AA68,"Not supplied")</x:f>
        <x:v>536.6579178367242</x:v>
      </x:c>
      <x:c r="E13" s="50" t="str">
        <x:v>Balance retained; no terminal release</x:v>
      </x:c>
      <x:c r="F13" s="50"/>
      <x:c r="G13" s="50"/>
      <x:c r="H13" s="83"/>
      <x:c r="I13" s="83"/>
      <x:c r="J13" s="83"/>
      <x:c r="K13" s="83"/>
      <x:c r="L13" s="83"/>
    </x:row>
    <x:row r="14" ht="21" customHeight="1">
      <x:c r="A14" s="50"/>
      <x:c r="B14" s="50"/>
      <x:c r="C14" s="50"/>
      <x:c r="D14" s="50"/>
      <x:c r="E14" s="50"/>
      <x:c r="F14" s="50"/>
      <x:c r="G14" s="50"/>
      <x:c r="H14" s="83"/>
      <x:c r="I14" s="83"/>
      <x:c r="J14" s="83"/>
      <x:c r="K14" s="83"/>
      <x:c r="L14" s="83"/>
    </x:row>
    <x:row r="15" ht="21" customHeight="1">
      <x:c r="A15" s="50"/>
      <x:c r="B15" s="50"/>
      <x:c r="C15" s="50"/>
      <x:c r="D15" s="50"/>
      <x:c r="E15" s="50"/>
      <x:c r="F15" s="50"/>
      <x:c r="G15" s="50"/>
      <x:c r="H15" s="83"/>
      <x:c r="I15" s="83"/>
      <x:c r="J15" s="83"/>
      <x:c r="K15" s="83"/>
      <x:c r="L15" s="83"/>
    </x:row>
    <x:row r="16" ht="21" customHeight="1">
      <x:c r="A16" s="50"/>
      <x:c r="B16" s="50"/>
      <x:c r="C16" s="50" t="str">
        <x:v>Validation remains separate from forecast calculations.</x:v>
      </x:c>
      <x:c r="D16" s="50"/>
      <x:c r="E16" s="50"/>
      <x:c r="F16" s="50"/>
      <x:c r="G16" s="50"/>
      <x:c r="H16" s="83"/>
      <x:c r="I16" s="83"/>
      <x:c r="J16" s="83"/>
      <x:c r="K16" s="83"/>
      <x:c r="L16" s="83"/>
    </x:row>
    <x:row r="17" ht="21" customHeight="1">
      <x:c r="A17" s="50"/>
      <x:c r="B17" s="50"/>
      <x:c r="C17" s="50" t="str">
        <x:v>Demo and fixture checks: see docs/finance/model-guide.md.</x:v>
      </x:c>
      <x:c r="D17" s="50"/>
      <x:c r="E17" s="50"/>
      <x:c r="F17" s="50"/>
      <x:c r="G17" s="50"/>
      <x:c r="H17" s="83"/>
      <x:c r="I17" s="83"/>
      <x:c r="J17" s="83"/>
      <x:c r="K17" s="83"/>
      <x:c r="L17" s="83"/>
    </x:row>
    <x:row r="18" ht="21" customHeight="1">
      <x:c r="A18" s="50"/>
      <x:c r="B18" s="50"/>
      <x:c r="C18" s="50"/>
      <x:c r="D18" s="50"/>
      <x:c r="E18" s="50"/>
      <x:c r="F18" s="50"/>
      <x:c r="G18" s="50"/>
      <x:c r="H18" s="83"/>
      <x:c r="I18" s="83"/>
      <x:c r="J18" s="83"/>
      <x:c r="K18" s="83"/>
      <x:c r="L18" s="83"/>
    </x:row>
    <x:row r="19" ht="21" customHeight="1">
      <x:c r="A19" s="50"/>
      <x:c r="B19" s="50"/>
      <x:c r="C19" s="50"/>
      <x:c r="D19" s="50"/>
      <x:c r="E19" s="50"/>
      <x:c r="F19" s="50"/>
      <x:c r="G19" s="50"/>
      <x:c r="H19" s="83"/>
      <x:c r="I19" s="83"/>
      <x:c r="J19" s="83"/>
      <x:c r="K19" s="83"/>
      <x:c r="L19" s="83"/>
    </x:row>
    <x:row r="20" ht="21" customHeight="1">
      <x:c r="A20" s="50"/>
      <x:c r="B20" s="50"/>
      <x:c r="C20" s="50"/>
      <x:c r="D20" s="50"/>
      <x:c r="E20" s="50"/>
      <x:c r="F20" s="50"/>
      <x:c r="G20" s="50"/>
      <x:c r="H20" s="83"/>
      <x:c r="I20" s="83"/>
      <x:c r="J20" s="83"/>
      <x:c r="K20" s="83"/>
      <x:c r="L20" s="83"/>
    </x:row>
  </x:sheetData>
  <x:conditionalFormatting sqref="D8:D11">
    <x:cfRule type="cellIs" dxfId="0" priority="1" operator="notBetween">
      <x:formula>-0.01</x:formula>
      <x:formula>0.01</x:formula>
    </x:cfRule>
  </x:conditionalFormatting>
  <x:pageMargins left="0.7" right="0.7" top="0.75" bottom="0.75" header="0.3" footer="0.3"/>
</x:worksheet>
</file>